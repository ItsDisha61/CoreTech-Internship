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sha\Downloads\"/>
    </mc:Choice>
  </mc:AlternateContent>
  <xr:revisionPtr revIDLastSave="0" documentId="13_ncr:1_{534A457E-8EDD-4B77-ACC4-D47D8CF460A5}" xr6:coauthVersionLast="47" xr6:coauthVersionMax="47" xr10:uidLastSave="{00000000-0000-0000-0000-000000000000}"/>
  <bookViews>
    <workbookView xWindow="-110" yWindow="-110" windowWidth="19420" windowHeight="10300" activeTab="6" xr2:uid="{B7E5430E-9370-4679-8E22-DAEE80F11714}"/>
  </bookViews>
  <sheets>
    <sheet name="Sheet7" sheetId="9" r:id="rId1"/>
    <sheet name="Sheet6" sheetId="8" r:id="rId2"/>
    <sheet name="Sheet5" sheetId="7" r:id="rId3"/>
    <sheet name="Sheet4" sheetId="6" r:id="rId4"/>
    <sheet name="Sheet3" sheetId="5" r:id="rId5"/>
    <sheet name="Sheet2" sheetId="4" r:id="rId6"/>
    <sheet name="Sheet1" sheetId="1" r:id="rId7"/>
  </sheets>
  <definedNames>
    <definedName name="_xlnm._FilterDatabase" localSheetId="6" hidden="1">Sheet1!$A$1:$L$1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<sst xmlns="http://schemas.openxmlformats.org/spreadsheetml/2006/main" count="519" uniqueCount="197">
  <si>
    <t>Client_ID</t>
  </si>
  <si>
    <t>Client_Name</t>
  </si>
  <si>
    <t>Company_Name</t>
  </si>
  <si>
    <t>Service</t>
  </si>
  <si>
    <t>Project_Budget</t>
  </si>
  <si>
    <t>Project_Status</t>
  </si>
  <si>
    <t>Start_Date</t>
  </si>
  <si>
    <t>End_Date</t>
  </si>
  <si>
    <t>Client_City</t>
  </si>
  <si>
    <t>Lead_Source</t>
  </si>
  <si>
    <t>Payment_Status</t>
  </si>
  <si>
    <t>Client_Rating</t>
  </si>
  <si>
    <t>C001</t>
  </si>
  <si>
    <t>NovaTech Solutions</t>
  </si>
  <si>
    <t>Web Development</t>
  </si>
  <si>
    <t>Completed</t>
  </si>
  <si>
    <t>C002</t>
  </si>
  <si>
    <t>Data Analytics</t>
  </si>
  <si>
    <t>In Progress</t>
  </si>
  <si>
    <t>Pending</t>
  </si>
  <si>
    <t>C003</t>
  </si>
  <si>
    <t>Apex Innovations</t>
  </si>
  <si>
    <t>Mobile App Development</t>
  </si>
  <si>
    <t>C004</t>
  </si>
  <si>
    <t>SEO Services</t>
  </si>
  <si>
    <t>C005</t>
  </si>
  <si>
    <t>BrightEdge Technologies</t>
  </si>
  <si>
    <t>Graphic Design</t>
  </si>
  <si>
    <t>C006</t>
  </si>
  <si>
    <t>C007</t>
  </si>
  <si>
    <t>C008</t>
  </si>
  <si>
    <t>UI/UX Design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</si>
  <si>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</si>
  <si>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</si>
  <si>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</si>
  <si>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</si>
  <si>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</si>
  <si>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</si>
  <si>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</si>
  <si>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</si>
  <si>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</si>
  <si>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</si>
  <si>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</si>
  <si>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</si>
  <si>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</si>
  <si>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</si>
  <si>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</si>
  <si>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</si>
  <si>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</si>
  <si>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</si>
  <si>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</si>
  <si>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</si>
  <si>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</si>
  <si>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</si>
  <si>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</si>
  <si>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</si>
  <si>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</si>
  <si>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</si>
  <si>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</si>
  <si>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</si>
  <si>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</si>
  <si>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</si>
  <si>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</si>
  <si>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</si>
  <si>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</si>
  <si>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</si>
  <si>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</si>
  <si>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</si>
  <si>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</si>
  <si>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</si>
  <si>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</si>
  <si>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</si>
  <si>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</si>
  <si>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</si>
  <si>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Parkash</t>
  </si>
  <si>
    <t>Sagar</t>
  </si>
  <si>
    <t>Ajna</t>
  </si>
  <si>
    <t>Hina</t>
  </si>
  <si>
    <t>Ahsas</t>
  </si>
  <si>
    <t>Ruman</t>
  </si>
  <si>
    <t>Emaan</t>
  </si>
  <si>
    <t>Nade</t>
  </si>
  <si>
    <t>Salar</t>
  </si>
  <si>
    <t>Neelam</t>
  </si>
  <si>
    <t>Nabeel</t>
  </si>
  <si>
    <t>Isha</t>
  </si>
  <si>
    <t>Nidesh</t>
  </si>
  <si>
    <t>Harsha</t>
  </si>
  <si>
    <t>Saad</t>
  </si>
  <si>
    <t>Sana</t>
  </si>
  <si>
    <t>Laiba</t>
  </si>
  <si>
    <t>Bilal</t>
  </si>
  <si>
    <t>Maham</t>
  </si>
  <si>
    <t>Iqra</t>
  </si>
  <si>
    <t>Sheeraz</t>
  </si>
  <si>
    <t>Shane Ali</t>
  </si>
  <si>
    <t>Hitik</t>
  </si>
  <si>
    <t>Disha</t>
  </si>
  <si>
    <t>Madhu</t>
  </si>
  <si>
    <t>Akash</t>
  </si>
  <si>
    <t>Pooja</t>
  </si>
  <si>
    <t>Kabeer</t>
  </si>
  <si>
    <t>Mehak</t>
  </si>
  <si>
    <t>Nitesh</t>
  </si>
  <si>
    <t>Kumar</t>
  </si>
  <si>
    <t>Priya</t>
  </si>
  <si>
    <t>Pari</t>
  </si>
  <si>
    <t>Tarun</t>
  </si>
  <si>
    <t>Aneesh</t>
  </si>
  <si>
    <t>Kinza Batool</t>
  </si>
  <si>
    <t>Muqadas</t>
  </si>
  <si>
    <t>Hijab</t>
  </si>
  <si>
    <t xml:space="preserve">Pawan </t>
  </si>
  <si>
    <t>Vishal</t>
  </si>
  <si>
    <t>Manisha</t>
  </si>
  <si>
    <t>Rahul</t>
  </si>
  <si>
    <t>Maria</t>
  </si>
  <si>
    <t>Komal</t>
  </si>
  <si>
    <t>Noor</t>
  </si>
  <si>
    <t>Krishna</t>
  </si>
  <si>
    <t>Michelle</t>
  </si>
  <si>
    <t>Rakesh</t>
  </si>
  <si>
    <t>Falak</t>
  </si>
  <si>
    <t>Sineha</t>
  </si>
  <si>
    <t>FBR</t>
  </si>
  <si>
    <t>CoreTech</t>
  </si>
  <si>
    <t>DigitalSphere Ltd</t>
  </si>
  <si>
    <t>BrightFuture Tech</t>
  </si>
  <si>
    <t>Spark Digital</t>
  </si>
  <si>
    <t>SmartEdge Technologies</t>
  </si>
  <si>
    <t>Vertex Digital</t>
  </si>
  <si>
    <t>ApexWave Technologies</t>
  </si>
  <si>
    <t>15/1/2026</t>
  </si>
  <si>
    <t>20/1/2026</t>
  </si>
  <si>
    <t>25/1/2026</t>
  </si>
  <si>
    <t>13/1/2026</t>
  </si>
  <si>
    <t>17/1/2026</t>
  </si>
  <si>
    <t>23/1/2026</t>
  </si>
  <si>
    <t>15/6/2026</t>
  </si>
  <si>
    <t>25/6/2026</t>
  </si>
  <si>
    <t>20/6/2026</t>
  </si>
  <si>
    <t>13/2/2026</t>
  </si>
  <si>
    <t>15/2/2026</t>
  </si>
  <si>
    <t>17/2/2026</t>
  </si>
  <si>
    <t>20/2/2026</t>
  </si>
  <si>
    <t>23/2/2026</t>
  </si>
  <si>
    <t>25/2/2026</t>
  </si>
  <si>
    <t>13/3/2026</t>
  </si>
  <si>
    <t>15/3/2026</t>
  </si>
  <si>
    <t>17/3/2026</t>
  </si>
  <si>
    <t>20/3/2026</t>
  </si>
  <si>
    <t>25/3/2026</t>
  </si>
  <si>
    <t>15/4/2026</t>
  </si>
  <si>
    <t>20/4/2026</t>
  </si>
  <si>
    <t>25/4/2026</t>
  </si>
  <si>
    <t>15/5/2026</t>
  </si>
  <si>
    <t>20/5/2026</t>
  </si>
  <si>
    <t>25/5/2026</t>
  </si>
  <si>
    <t>15/7/2026</t>
  </si>
  <si>
    <t>18/4/2026</t>
  </si>
  <si>
    <t>27/4/2026</t>
  </si>
  <si>
    <t>17/5/2026</t>
  </si>
  <si>
    <t>23/5/2026</t>
  </si>
  <si>
    <t>23/6/2026</t>
  </si>
  <si>
    <t>25/7/2026</t>
  </si>
  <si>
    <t>20/8/2026</t>
  </si>
  <si>
    <t>15/9/2026</t>
  </si>
  <si>
    <t>25/8/2026</t>
  </si>
  <si>
    <t>15/8/2026</t>
  </si>
  <si>
    <t>Hyderabad</t>
  </si>
  <si>
    <t>Karachi</t>
  </si>
  <si>
    <t>Islamabad</t>
  </si>
  <si>
    <t>Lahore</t>
  </si>
  <si>
    <t>Hala</t>
  </si>
  <si>
    <t>Sukkur</t>
  </si>
  <si>
    <t>Nawabshah</t>
  </si>
  <si>
    <t>Larkana</t>
  </si>
  <si>
    <t>Website</t>
  </si>
  <si>
    <t>LinkedIn</t>
  </si>
  <si>
    <t>Referral</t>
  </si>
  <si>
    <t>Facebook</t>
  </si>
  <si>
    <t>Instagram</t>
  </si>
  <si>
    <t>Paid</t>
  </si>
  <si>
    <t>Row Labels</t>
  </si>
  <si>
    <t>Grand Total</t>
  </si>
  <si>
    <t>Sum of Project_Budget</t>
  </si>
  <si>
    <t>total budget by service</t>
  </si>
  <si>
    <t>Count of Client_ID</t>
  </si>
  <si>
    <t>number of clients by city</t>
  </si>
  <si>
    <t>Count of Project_Status</t>
  </si>
  <si>
    <t>project status count</t>
  </si>
  <si>
    <t>Count of Lead_Source</t>
  </si>
  <si>
    <t> lead source performance</t>
  </si>
  <si>
    <t>Count of Payment_Status</t>
  </si>
  <si>
    <t>payment status summary</t>
  </si>
  <si>
    <t>Sum of Client_Rating</t>
  </si>
  <si>
    <t>average rating by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</si>
</sst>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sz val="12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0" borderId="0" xfId="0" quotePrefix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2" fillId="0" borderId="1" xfId="1"/>
    <xf numFmtId="0" fontId="2" fillId="2" borderId="1" xfId="1" applyFill="1"/>
    <xf numFmtId="0" fontId="2" fillId="3" borderId="1" xfId="1" applyFill="1" applyAlignment="1">
      <alignment horizontal="left" vertical="top" indent="6"/>
    </xf>
    <xf numFmtId="0" fontId="0" fillId="2" borderId="0" xfId="0" applyFill="1"/>
    <xf numFmtId="0" fontId="2" fillId="3" borderId="1" xfId="1" applyFill="1"/>
    <xf numFmtId="0" fontId="2" fillId="3" borderId="1" xfId="1" applyFill="1" applyAlignment="1">
      <alignment horizontal="left" indent="2"/>
    </xf>
    <xf numFmtId="0" fontId="2" fillId="3" borderId="1" xfId="1" applyFill="1" applyAlignment="1">
      <alignment horizontal="left" indent="4"/>
    </xf>
    <xf numFmtId="0" fontId="2" fillId="3" borderId="1" xfId="1" applyFill="1" applyAlignment="1">
      <alignment horizontal="left" indent="5"/>
    </xf>
    <xf numFmtId="0" fontId="3" fillId="0" borderId="0" xfId="0" applyFont="1"/>
    <xf numFmtId="0" fontId="4" fillId="3" borderId="1" xfId="1" applyFont="1" applyFill="1" applyAlignment="1">
      <alignment horizontal="left" indent="3"/>
    </xf>
    <xf numFmtId="49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49" fontId="2" fillId="3" borderId="1" xfId="1" applyNumberFormat="1" applyFill="1" applyAlignment="1">
      <alignment horizontal="center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 wrapText="1"/>
    </xf>
  </cellXfs>
  <cellStyles count="2">
    <cellStyle name="Heading 1" xfId="1" builtinId="16"/>
    <cellStyle name="Normal" xfId="0" builtinId="0"/>
  </cellStyles>
  <dxfs count="33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sha Kumari" refreshedDate="46184.964794097221" createdVersion="8" refreshedVersion="8" minRefreshableVersion="3" recordCount="50" xr:uid="{BB1D6473-5333-4A81-88C0-2A7EBF3A052B}">
  <cacheSource type="worksheet">
    <worksheetSource ref="A1:L51" sheet="Sheet1"/>
  </cacheSource>
  <cacheFields count="12">
    <cacheField name="Client_ID" numFmtId="49">
      <sharedItems/>
    </cacheField>
    <cacheField name="Client_Name" numFmtId="49">
      <sharedItems/>
    </cacheField>
    <cacheField name="Company_Name" numFmtId="49">
      <sharedItems/>
    </cacheField>
    <cacheField name="Service" numFmtId="49">
      <sharedItems count="6">
        <s v="Web Development"/>
        <s v="Data Analytics"/>
        <s v="Mobile App Development"/>
        <s v="SEO Services"/>
        <s v="Graphic Design"/>
        <s v="UI/UX Design"/>
      </sharedItems>
    </cacheField>
    <cacheField name="Project_Budget" numFmtId="164">
      <sharedItems containsSemiMixedTypes="0" containsString="0" containsNumber="1" containsInteger="1" minValue="2500" maxValue="9800"/>
    </cacheField>
    <cacheField name="Project_Status" numFmtId="49">
      <sharedItems count="3">
        <s v="Completed"/>
        <s v="In Progress"/>
        <s v="Pending"/>
      </sharedItems>
    </cacheField>
    <cacheField name="Start_Date" numFmtId="14">
      <sharedItems containsDate="1" containsMixedTypes="1" minDate="2026-01-01T00:00:00" maxDate="2026-10-07T00:00:00"/>
    </cacheField>
    <cacheField name="End_Date" numFmtId="14">
      <sharedItems containsDate="1" containsMixedTypes="1" minDate="2026-01-03T00:00:00" maxDate="2026-10-09T00:00:00"/>
    </cacheField>
    <cacheField name="Client_City" numFmtId="49">
      <sharedItems count="8">
        <s v="Hyderabad"/>
        <s v="Karachi"/>
        <s v="Islamabad"/>
        <s v="Lahore"/>
        <s v="Hala"/>
        <s v="Sukkur"/>
        <s v="Nawabshah"/>
        <s v="Larkana"/>
      </sharedItems>
    </cacheField>
    <cacheField name="Lead_Source" numFmtId="49">
      <sharedItems count="5">
        <s v="Website"/>
        <s v="LinkedIn"/>
        <s v="Referral"/>
        <s v="Facebook"/>
        <s v="Instagram"/>
      </sharedItems>
    </cacheField>
    <cacheField name="Payment_Status" numFmtId="49">
      <sharedItems count="2">
        <s v="Paid"/>
        <s v="Pending"/>
      </sharedItems>
    </cacheField>
    <cacheField name="Client_Rating" numFmtId="49">
      <sharedItems containsSemiMixedTypes="0" containsString="0" containsNumber="1" minValue="3.5" maxValue="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001"/>
    <s v="Parkash"/>
    <s v="FBR"/>
    <x v="0"/>
    <n v="5000"/>
    <x v="0"/>
    <d v="2026-01-01T00:00:00"/>
    <d v="2026-01-03T00:00:00"/>
    <x v="0"/>
    <x v="0"/>
    <x v="0"/>
    <n v="4.5"/>
  </r>
  <r>
    <s v="C002"/>
    <s v="Sagar"/>
    <s v="NovaTech Solutions"/>
    <x v="1"/>
    <n v="7000"/>
    <x v="1"/>
    <d v="2026-03-01T00:00:00"/>
    <d v="2026-05-04T00:00:00"/>
    <x v="1"/>
    <x v="1"/>
    <x v="0"/>
    <n v="4.2"/>
  </r>
  <r>
    <s v="C003"/>
    <s v="Ajna"/>
    <s v="Apex Innovations"/>
    <x v="2"/>
    <n v="6000"/>
    <x v="2"/>
    <d v="2026-05-01T00:00:00"/>
    <s v="20/3/2026"/>
    <x v="2"/>
    <x v="2"/>
    <x v="1"/>
    <n v="4.8"/>
  </r>
  <r>
    <s v="C004"/>
    <s v="Hina"/>
    <s v="BrightEdge Technologies"/>
    <x v="3"/>
    <n v="2500"/>
    <x v="1"/>
    <d v="2026-07-01T00:00:00"/>
    <s v="15/4/2026"/>
    <x v="3"/>
    <x v="3"/>
    <x v="1"/>
    <n v="4.0999999999999996"/>
  </r>
  <r>
    <s v="C005"/>
    <s v="Ahsas"/>
    <s v="CoreTech"/>
    <x v="4"/>
    <n v="3500"/>
    <x v="0"/>
    <d v="2026-10-01T00:00:00"/>
    <s v="20/2/2026"/>
    <x v="4"/>
    <x v="4"/>
    <x v="0"/>
    <n v="4.5999999999999996"/>
  </r>
  <r>
    <s v="C006"/>
    <s v="Shane Ali"/>
    <s v="DigitalSphere Ltd"/>
    <x v="5"/>
    <n v="8000"/>
    <x v="1"/>
    <s v="13/1/2026"/>
    <s v="25/4/2026"/>
    <x v="5"/>
    <x v="0"/>
    <x v="1"/>
    <n v="4.7"/>
  </r>
  <r>
    <s v="C007"/>
    <s v="Ruman"/>
    <s v="NovaTech Solutions"/>
    <x v="4"/>
    <n v="5500"/>
    <x v="2"/>
    <s v="15/1/2026"/>
    <d v="2026-01-04T00:00:00"/>
    <x v="6"/>
    <x v="1"/>
    <x v="0"/>
    <n v="4.3"/>
  </r>
  <r>
    <s v="C008"/>
    <s v="Emaan"/>
    <s v="CoreTech"/>
    <x v="0"/>
    <n v="4000"/>
    <x v="1"/>
    <s v="17/1/2026"/>
    <d v="2026-05-05T00:00:00"/>
    <x v="7"/>
    <x v="2"/>
    <x v="1"/>
    <n v="4"/>
  </r>
  <r>
    <s v="C009"/>
    <s v="Nade"/>
    <s v="BrightEdge Technologies"/>
    <x v="5"/>
    <n v="4400"/>
    <x v="0"/>
    <s v="20/1/2026"/>
    <d v="2026-10-05T00:00:00"/>
    <x v="0"/>
    <x v="3"/>
    <x v="0"/>
    <n v="4.9000000000000004"/>
  </r>
  <r>
    <s v="C010"/>
    <s v="Salar"/>
    <s v="Apex Innovations"/>
    <x v="1"/>
    <n v="9000"/>
    <x v="1"/>
    <s v="23/1/2026"/>
    <s v="23/2/2026"/>
    <x v="1"/>
    <x v="4"/>
    <x v="1"/>
    <n v="3.6"/>
  </r>
  <r>
    <s v="C011"/>
    <s v="Neelam"/>
    <s v="BrightFuture Tech"/>
    <x v="0"/>
    <n v="6500"/>
    <x v="0"/>
    <s v="25/1/2026"/>
    <s v="25/2/2026"/>
    <x v="2"/>
    <x v="3"/>
    <x v="1"/>
    <n v="3.9"/>
  </r>
  <r>
    <s v="C012"/>
    <s v="Nabeel"/>
    <s v="BrightEdge Technologies"/>
    <x v="1"/>
    <n v="8500"/>
    <x v="1"/>
    <d v="2026-01-02T00:00:00"/>
    <d v="2026-10-05T00:00:00"/>
    <x v="3"/>
    <x v="0"/>
    <x v="1"/>
    <n v="4.0999999999999996"/>
  </r>
  <r>
    <s v="C013"/>
    <s v="Isha"/>
    <s v="NovaTech Solutions"/>
    <x v="2"/>
    <n v="5000"/>
    <x v="2"/>
    <d v="2026-03-02T00:00:00"/>
    <s v="15/5/2026"/>
    <x v="4"/>
    <x v="1"/>
    <x v="0"/>
    <n v="4.3"/>
  </r>
  <r>
    <s v="C014"/>
    <s v="Nidesh"/>
    <s v="Spark Digital"/>
    <x v="3"/>
    <n v="3000"/>
    <x v="1"/>
    <d v="2026-05-02T00:00:00"/>
    <s v="20/4/2026"/>
    <x v="5"/>
    <x v="2"/>
    <x v="1"/>
    <n v="4.2"/>
  </r>
  <r>
    <s v="C015"/>
    <s v="Harsha"/>
    <s v="Apex Innovations"/>
    <x v="4"/>
    <n v="9200"/>
    <x v="0"/>
    <d v="2026-07-02T00:00:00"/>
    <s v="25/5/2026"/>
    <x v="6"/>
    <x v="3"/>
    <x v="0"/>
    <n v="5.5"/>
  </r>
  <r>
    <s v="C016"/>
    <s v="Saad"/>
    <s v="CoreTech"/>
    <x v="5"/>
    <n v="3500"/>
    <x v="2"/>
    <d v="2026-10-02T00:00:00"/>
    <s v="18/4/2026"/>
    <x v="1"/>
    <x v="4"/>
    <x v="1"/>
    <n v="4.8"/>
  </r>
  <r>
    <s v="C017"/>
    <s v="Sana"/>
    <s v="SmartEdge Technologies"/>
    <x v="1"/>
    <n v="7000"/>
    <x v="0"/>
    <s v="13/2/2026"/>
    <s v="27/4/2026"/>
    <x v="7"/>
    <x v="0"/>
    <x v="1"/>
    <n v="4.9000000000000004"/>
  </r>
  <r>
    <s v="C018"/>
    <s v="Laiba"/>
    <s v="Vertex Digital"/>
    <x v="4"/>
    <n v="2500"/>
    <x v="1"/>
    <s v="15/2/2026"/>
    <d v="2026-03-05T00:00:00"/>
    <x v="6"/>
    <x v="1"/>
    <x v="1"/>
    <n v="3.5"/>
  </r>
  <r>
    <s v="C019"/>
    <s v="Bilal"/>
    <s v="NovaTech Solutions"/>
    <x v="0"/>
    <n v="9700"/>
    <x v="2"/>
    <s v="17/2/2026"/>
    <d v="2026-10-05T00:00:00"/>
    <x v="0"/>
    <x v="3"/>
    <x v="0"/>
    <n v="3.7"/>
  </r>
  <r>
    <s v="C020"/>
    <s v="Maham"/>
    <s v="BrightEdge Technologies"/>
    <x v="0"/>
    <n v="3400"/>
    <x v="1"/>
    <s v="20/2/2026"/>
    <s v="17/5/2026"/>
    <x v="1"/>
    <x v="4"/>
    <x v="1"/>
    <n v="3.8"/>
  </r>
  <r>
    <s v="C021"/>
    <s v="Iqra"/>
    <s v="DigitalSphere Ltd"/>
    <x v="1"/>
    <n v="2700"/>
    <x v="0"/>
    <s v="23/2/2026"/>
    <s v="20/6/2026"/>
    <x v="2"/>
    <x v="3"/>
    <x v="0"/>
    <n v="3.9"/>
  </r>
  <r>
    <s v="C022"/>
    <s v="Sheeraz"/>
    <s v="BrightFuture Tech"/>
    <x v="2"/>
    <n v="8800"/>
    <x v="1"/>
    <s v="25/2/2026"/>
    <s v="23/5/2026"/>
    <x v="3"/>
    <x v="4"/>
    <x v="1"/>
    <n v="4"/>
  </r>
  <r>
    <s v="C023"/>
    <s v="Hitik"/>
    <s v="FBR"/>
    <x v="3"/>
    <n v="9500"/>
    <x v="0"/>
    <d v="2026-01-03T00:00:00"/>
    <d v="2026-05-05T00:00:00"/>
    <x v="4"/>
    <x v="2"/>
    <x v="0"/>
    <n v="4.9000000000000004"/>
  </r>
  <r>
    <s v="C024"/>
    <s v="Disha"/>
    <s v="SmartEdge Technologies"/>
    <x v="4"/>
    <n v="9000"/>
    <x v="2"/>
    <d v="2026-03-03T00:00:00"/>
    <d v="2026-10-05T00:00:00"/>
    <x v="5"/>
    <x v="0"/>
    <x v="1"/>
    <n v="4.2"/>
  </r>
  <r>
    <s v="C025"/>
    <s v="Madhu"/>
    <s v="Spark Digital"/>
    <x v="5"/>
    <n v="4000"/>
    <x v="1"/>
    <d v="2026-05-03T00:00:00"/>
    <s v="15/5/2026"/>
    <x v="6"/>
    <x v="1"/>
    <x v="0"/>
    <n v="4.8"/>
  </r>
  <r>
    <s v="C026"/>
    <s v="Akash"/>
    <s v="Vertex Digital"/>
    <x v="4"/>
    <n v="4400"/>
    <x v="0"/>
    <d v="2026-07-03T00:00:00"/>
    <d v="2026-01-04T00:00:00"/>
    <x v="1"/>
    <x v="2"/>
    <x v="1"/>
    <n v="4.0999999999999996"/>
  </r>
  <r>
    <s v="C027"/>
    <s v="Pooja"/>
    <s v="ApexWave Technologies"/>
    <x v="0"/>
    <n v="3800"/>
    <x v="1"/>
    <d v="2026-10-03T00:00:00"/>
    <d v="2026-05-06T00:00:00"/>
    <x v="4"/>
    <x v="3"/>
    <x v="0"/>
    <n v="4.7"/>
  </r>
  <r>
    <s v="C028"/>
    <s v="Kabeer"/>
    <s v="BrightEdge Technologies"/>
    <x v="4"/>
    <n v="5500"/>
    <x v="2"/>
    <s v="13/3/2026"/>
    <d v="2026-10-05T00:00:00"/>
    <x v="6"/>
    <x v="4"/>
    <x v="1"/>
    <n v="4.5"/>
  </r>
  <r>
    <s v="C029"/>
    <s v="Mehak"/>
    <s v="Apex Innovations"/>
    <x v="1"/>
    <n v="3000"/>
    <x v="1"/>
    <s v="15/3/2026"/>
    <s v="15/6/2026"/>
    <x v="0"/>
    <x v="1"/>
    <x v="1"/>
    <n v="4.5999999999999996"/>
  </r>
  <r>
    <s v="C030"/>
    <s v="Nitesh"/>
    <s v="CoreTech"/>
    <x v="5"/>
    <n v="6500"/>
    <x v="0"/>
    <s v="17/3/2026"/>
    <s v="20/6/2026"/>
    <x v="1"/>
    <x v="0"/>
    <x v="0"/>
    <n v="4.4000000000000004"/>
  </r>
  <r>
    <s v="C031"/>
    <s v="Kumar"/>
    <s v="NovaTech Solutions"/>
    <x v="0"/>
    <n v="7000"/>
    <x v="1"/>
    <s v="20/3/2026"/>
    <s v="25/6/2026"/>
    <x v="2"/>
    <x v="1"/>
    <x v="0"/>
    <n v="4.2"/>
  </r>
  <r>
    <s v="C032"/>
    <s v="Priya"/>
    <s v="BrightFuture Tech"/>
    <x v="1"/>
    <n v="7500"/>
    <x v="2"/>
    <s v="25/3/2026"/>
    <s v="23/6/2026"/>
    <x v="3"/>
    <x v="2"/>
    <x v="1"/>
    <n v="3.5"/>
  </r>
  <r>
    <s v="C033"/>
    <s v="Pari"/>
    <s v="Spark Digital"/>
    <x v="2"/>
    <n v="9000"/>
    <x v="1"/>
    <d v="2026-01-04T00:00:00"/>
    <d v="2026-01-05T00:00:00"/>
    <x v="4"/>
    <x v="3"/>
    <x v="1"/>
    <n v="4.4000000000000004"/>
  </r>
  <r>
    <s v="C034"/>
    <s v="Tarun"/>
    <s v="BrightEdge Technologies"/>
    <x v="3"/>
    <n v="9700"/>
    <x v="0"/>
    <d v="2026-05-04T00:00:00"/>
    <d v="2026-01-05T00:00:00"/>
    <x v="5"/>
    <x v="4"/>
    <x v="0"/>
    <n v="3.7"/>
  </r>
  <r>
    <s v="C035"/>
    <s v="Aneesh"/>
    <s v="SmartEdge Technologies"/>
    <x v="4"/>
    <n v="5000"/>
    <x v="2"/>
    <d v="2026-10-04T00:00:00"/>
    <d v="2026-10-06T00:00:00"/>
    <x v="6"/>
    <x v="1"/>
    <x v="0"/>
    <n v="4.2"/>
  </r>
  <r>
    <s v="C036"/>
    <s v="Kinza Batool"/>
    <s v="Vertex Digital"/>
    <x v="5"/>
    <n v="6000"/>
    <x v="1"/>
    <s v="15/4/2026"/>
    <s v="15/7/2026"/>
    <x v="7"/>
    <x v="2"/>
    <x v="1"/>
    <n v="3.9"/>
  </r>
  <r>
    <s v="C037"/>
    <s v="Muqadas"/>
    <s v="ApexWave Technologies"/>
    <x v="4"/>
    <n v="7000"/>
    <x v="0"/>
    <s v="20/4/2026"/>
    <s v="20/5/2026"/>
    <x v="1"/>
    <x v="0"/>
    <x v="0"/>
    <n v="4.4000000000000004"/>
  </r>
  <r>
    <s v="C038"/>
    <s v="Hijab"/>
    <s v="DigitalSphere Ltd"/>
    <x v="1"/>
    <n v="7500"/>
    <x v="2"/>
    <s v="25/4/2026"/>
    <s v="25/7/2026"/>
    <x v="7"/>
    <x v="1"/>
    <x v="1"/>
    <n v="4.3"/>
  </r>
  <r>
    <s v="C039"/>
    <s v="Pawan "/>
    <s v="CoreTech"/>
    <x v="5"/>
    <n v="2500"/>
    <x v="1"/>
    <d v="2026-01-05T00:00:00"/>
    <d v="2026-01-07T00:00:00"/>
    <x v="0"/>
    <x v="2"/>
    <x v="0"/>
    <n v="3.6"/>
  </r>
  <r>
    <s v="C040"/>
    <s v="Vishal"/>
    <s v="NovaTech Solutions"/>
    <x v="0"/>
    <n v="3500"/>
    <x v="2"/>
    <d v="2026-05-05T00:00:00"/>
    <d v="2026-05-08T00:00:00"/>
    <x v="1"/>
    <x v="3"/>
    <x v="0"/>
    <n v="3.5"/>
  </r>
  <r>
    <s v="C041"/>
    <s v="Manisha"/>
    <s v="BrightEdge Technologies"/>
    <x v="1"/>
    <n v="3800"/>
    <x v="0"/>
    <d v="2026-10-05T00:00:00"/>
    <d v="2026-10-08T00:00:00"/>
    <x v="2"/>
    <x v="4"/>
    <x v="0"/>
    <n v="3.9"/>
  </r>
  <r>
    <s v="C042"/>
    <s v="Rahul"/>
    <s v="Apex Innovations"/>
    <x v="2"/>
    <n v="4400"/>
    <x v="1"/>
    <s v="15/5/2026"/>
    <s v="15/8/2026"/>
    <x v="3"/>
    <x v="0"/>
    <x v="1"/>
    <n v="3.9"/>
  </r>
  <r>
    <s v="C043"/>
    <s v="Maria"/>
    <s v="Spark Digital"/>
    <x v="3"/>
    <n v="9300"/>
    <x v="2"/>
    <s v="20/5/2026"/>
    <s v="20/6/2026"/>
    <x v="4"/>
    <x v="1"/>
    <x v="1"/>
    <n v="4.9000000000000004"/>
  </r>
  <r>
    <s v="C044"/>
    <s v="Komal"/>
    <s v="SmartEdge Technologies"/>
    <x v="4"/>
    <n v="3200"/>
    <x v="0"/>
    <s v="25/5/2026"/>
    <s v="25/8/2026"/>
    <x v="5"/>
    <x v="2"/>
    <x v="0"/>
    <n v="4.5"/>
  </r>
  <r>
    <s v="C045"/>
    <s v="Noor"/>
    <s v="BrightFuture Tech"/>
    <x v="5"/>
    <n v="6200"/>
    <x v="1"/>
    <d v="2026-01-06T00:00:00"/>
    <d v="2026-01-08T00:00:00"/>
    <x v="6"/>
    <x v="3"/>
    <x v="1"/>
    <n v="4.0999999999999996"/>
  </r>
  <r>
    <s v="C046"/>
    <s v="Krishna"/>
    <s v="NovaTech Solutions"/>
    <x v="1"/>
    <n v="6500"/>
    <x v="2"/>
    <d v="2026-05-06T00:00:00"/>
    <d v="2026-05-09T00:00:00"/>
    <x v="4"/>
    <x v="4"/>
    <x v="0"/>
    <n v="4"/>
  </r>
  <r>
    <s v="C047"/>
    <s v="Michelle"/>
    <s v="DigitalSphere Ltd"/>
    <x v="4"/>
    <n v="6800"/>
    <x v="0"/>
    <d v="2026-10-06T00:00:00"/>
    <d v="2026-10-07T00:00:00"/>
    <x v="3"/>
    <x v="1"/>
    <x v="1"/>
    <n v="4.7"/>
  </r>
  <r>
    <s v="C048"/>
    <s v="Rakesh"/>
    <s v="CoreTech"/>
    <x v="2"/>
    <n v="8800"/>
    <x v="2"/>
    <s v="15/6/2026"/>
    <s v="15/9/2026"/>
    <x v="2"/>
    <x v="2"/>
    <x v="0"/>
    <n v="4.9000000000000004"/>
  </r>
  <r>
    <s v="C049"/>
    <s v="Falak"/>
    <s v="BrightEdge Technologies"/>
    <x v="0"/>
    <n v="9800"/>
    <x v="1"/>
    <s v="20/6/2026"/>
    <s v="20/8/2026"/>
    <x v="0"/>
    <x v="1"/>
    <x v="1"/>
    <n v="4.8"/>
  </r>
  <r>
    <s v="C050"/>
    <s v="Sineha"/>
    <s v="Apex Innovations"/>
    <x v="5"/>
    <n v="4000"/>
    <x v="0"/>
    <s v="25/6/2026"/>
    <d v="2026-01-10T00:00:00"/>
    <x v="1"/>
    <x v="0"/>
    <x v="0"/>
    <n v="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8FDF5-1B9A-4DF9-8CD5-9F6561E9F16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dataField="1" numFmtId="4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lient_Rating" fld="11" baseField="0" baseItem="0" numFmtId="49"/>
  </dataFields>
  <formats count="3">
    <format dxfId="32">
      <pivotArea dataOnly="0" fieldPosition="0">
        <references count="1">
          <reference field="3" count="0"/>
        </references>
      </pivotArea>
    </format>
    <format dxfId="31">
      <pivotArea grandRow="1" outline="0" collapsedLevelsAreSubtotals="1" fieldPosition="0"/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405AE-253E-4918-B5A4-9BB53E122E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numFmtId="49"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Payment_Status" fld="10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fieldPosition="0">
        <references count="1">
          <reference field="1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588A2-D7E3-4936-97E9-7644509D9F5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6">
        <item x="3"/>
        <item x="4"/>
        <item x="1"/>
        <item x="2"/>
        <item x="0"/>
        <item t="default"/>
      </items>
    </pivotField>
    <pivotField showAll="0"/>
    <pivotField numFmtId="49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Lead_Source" fld="9" subtotal="count" baseField="0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0D23B-53C4-4DF3-8E52-8423EB938B4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showAll="0"/>
    <pivotField showAll="0"/>
    <pivotField showAll="0"/>
    <pivotField numFmtId="164"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49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ject_Status" fld="5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8F9572-8056-496A-BE48-975755743E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2"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axis="axisRow" showAll="0">
      <items count="9">
        <item x="4"/>
        <item x="0"/>
        <item x="2"/>
        <item x="1"/>
        <item x="3"/>
        <item x="7"/>
        <item x="6"/>
        <item x="5"/>
        <item t="default"/>
      </items>
    </pivotField>
    <pivotField showAll="0"/>
    <pivotField showAll="0"/>
    <pivotField numFmtId="49"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Client_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5C6D0-A234-4F8B-8502-98C02E516E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2">
    <pivotField showAll="0"/>
    <pivotField showAll="0"/>
    <pivotField showAll="0"/>
    <pivotField axis="axisRow" showAll="0">
      <items count="7">
        <item x="1"/>
        <item x="4"/>
        <item x="2"/>
        <item x="3"/>
        <item x="5"/>
        <item x="0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numFmtId="49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ject_Budget" fld="4" baseField="0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DC5-D13D-47AE-AE6E-B958915F8B3F}">
  <dimension ref="A2:B10"/>
  <sheetViews>
    <sheetView workbookViewId="0">
      <selection activeCell="B16" sqref="B16"/>
    </sheetView>
  </sheetViews>
  <sheetFormatPr defaultRowHeight="14.5" x14ac:dyDescent="0.35"/>
  <cols>
    <col min="1" max="1" width="20.90625" bestFit="1" customWidth="1"/>
    <col min="2" max="2" width="18.453125" bestFit="1" customWidth="1"/>
  </cols>
  <sheetData>
    <row r="2" spans="1:2" ht="20" thickBot="1" x14ac:dyDescent="0.5">
      <c r="A2" s="10" t="s">
        <v>196</v>
      </c>
      <c r="B2" s="10"/>
    </row>
    <row r="3" spans="1:2" ht="15" thickTop="1" x14ac:dyDescent="0.35">
      <c r="A3" s="2" t="s">
        <v>183</v>
      </c>
      <c r="B3" t="s">
        <v>195</v>
      </c>
    </row>
    <row r="4" spans="1:2" x14ac:dyDescent="0.35">
      <c r="A4" s="3" t="s">
        <v>17</v>
      </c>
      <c r="B4" s="14">
        <v>40.999999999999993</v>
      </c>
    </row>
    <row r="5" spans="1:2" x14ac:dyDescent="0.35">
      <c r="A5" s="3" t="s">
        <v>27</v>
      </c>
      <c r="B5" s="14">
        <v>48.5</v>
      </c>
    </row>
    <row r="6" spans="1:2" x14ac:dyDescent="0.35">
      <c r="A6" s="3" t="s">
        <v>22</v>
      </c>
      <c r="B6" s="14">
        <v>26.299999999999997</v>
      </c>
    </row>
    <row r="7" spans="1:2" x14ac:dyDescent="0.35">
      <c r="A7" s="3" t="s">
        <v>24</v>
      </c>
      <c r="B7" s="14">
        <v>21.800000000000004</v>
      </c>
    </row>
    <row r="8" spans="1:2" x14ac:dyDescent="0.35">
      <c r="A8" s="3" t="s">
        <v>31</v>
      </c>
      <c r="B8" s="14">
        <v>39.700000000000003</v>
      </c>
    </row>
    <row r="9" spans="1:2" x14ac:dyDescent="0.35">
      <c r="A9" s="3" t="s">
        <v>14</v>
      </c>
      <c r="B9" s="14">
        <v>37.099999999999994</v>
      </c>
    </row>
    <row r="10" spans="1:2" x14ac:dyDescent="0.35">
      <c r="A10" s="3" t="s">
        <v>184</v>
      </c>
      <c r="B10" s="14">
        <v>214.4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64AB-7196-4898-A78F-F0F3719BBC1E}">
  <dimension ref="A2:B6"/>
  <sheetViews>
    <sheetView workbookViewId="0">
      <selection activeCell="E12" sqref="E12"/>
    </sheetView>
  </sheetViews>
  <sheetFormatPr defaultRowHeight="14.5" x14ac:dyDescent="0.35"/>
  <cols>
    <col min="1" max="1" width="12.453125" bestFit="1" customWidth="1"/>
    <col min="2" max="2" width="22.08984375" bestFit="1" customWidth="1"/>
  </cols>
  <sheetData>
    <row r="2" spans="1:2" ht="20" thickBot="1" x14ac:dyDescent="0.5">
      <c r="A2" s="9" t="s">
        <v>194</v>
      </c>
      <c r="B2" s="9"/>
    </row>
    <row r="3" spans="1:2" ht="15" thickTop="1" x14ac:dyDescent="0.35">
      <c r="A3" s="15" t="s">
        <v>183</v>
      </c>
      <c r="B3" s="3" t="s">
        <v>193</v>
      </c>
    </row>
    <row r="4" spans="1:2" x14ac:dyDescent="0.35">
      <c r="A4" s="3" t="s">
        <v>182</v>
      </c>
      <c r="B4" s="3">
        <v>24</v>
      </c>
    </row>
    <row r="5" spans="1:2" x14ac:dyDescent="0.35">
      <c r="A5" s="3" t="s">
        <v>19</v>
      </c>
      <c r="B5" s="3">
        <v>26</v>
      </c>
    </row>
    <row r="6" spans="1:2" x14ac:dyDescent="0.35">
      <c r="A6" s="3" t="s">
        <v>184</v>
      </c>
      <c r="B6" s="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1B8D-425D-49AA-92D8-1FB55E05CFD2}">
  <dimension ref="A2:B9"/>
  <sheetViews>
    <sheetView workbookViewId="0">
      <selection activeCell="F11" sqref="F11"/>
    </sheetView>
  </sheetViews>
  <sheetFormatPr defaultRowHeight="14.5" x14ac:dyDescent="0.35"/>
  <cols>
    <col min="1" max="1" width="12.453125" bestFit="1" customWidth="1"/>
    <col min="2" max="2" width="19.08984375" bestFit="1" customWidth="1"/>
  </cols>
  <sheetData>
    <row r="2" spans="1:2" ht="20" thickBot="1" x14ac:dyDescent="0.5">
      <c r="A2" s="8" t="s">
        <v>192</v>
      </c>
      <c r="B2" s="8"/>
    </row>
    <row r="3" spans="1:2" ht="15" thickTop="1" x14ac:dyDescent="0.35">
      <c r="A3" s="15" t="s">
        <v>183</v>
      </c>
      <c r="B3" s="3" t="s">
        <v>191</v>
      </c>
    </row>
    <row r="4" spans="1:2" x14ac:dyDescent="0.35">
      <c r="A4" s="3" t="s">
        <v>180</v>
      </c>
      <c r="B4" s="3">
        <v>10</v>
      </c>
    </row>
    <row r="5" spans="1:2" x14ac:dyDescent="0.35">
      <c r="A5" s="3" t="s">
        <v>181</v>
      </c>
      <c r="B5" s="3">
        <v>9</v>
      </c>
    </row>
    <row r="6" spans="1:2" x14ac:dyDescent="0.35">
      <c r="A6" s="3" t="s">
        <v>178</v>
      </c>
      <c r="B6" s="3">
        <v>12</v>
      </c>
    </row>
    <row r="7" spans="1:2" x14ac:dyDescent="0.35">
      <c r="A7" s="3" t="s">
        <v>179</v>
      </c>
      <c r="B7" s="3">
        <v>10</v>
      </c>
    </row>
    <row r="8" spans="1:2" x14ac:dyDescent="0.35">
      <c r="A8" s="3" t="s">
        <v>177</v>
      </c>
      <c r="B8" s="3">
        <v>9</v>
      </c>
    </row>
    <row r="9" spans="1:2" x14ac:dyDescent="0.35">
      <c r="A9" s="3" t="s">
        <v>184</v>
      </c>
      <c r="B9" s="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2C874-9C42-4190-9D7F-7F9C9EBFCBEF}">
  <dimension ref="A2:E16"/>
  <sheetViews>
    <sheetView workbookViewId="0">
      <selection activeCell="F12" sqref="F12"/>
    </sheetView>
  </sheetViews>
  <sheetFormatPr defaultRowHeight="14.5" x14ac:dyDescent="0.35"/>
  <cols>
    <col min="1" max="1" width="12.453125" bestFit="1" customWidth="1"/>
    <col min="2" max="2" width="20.54296875" bestFit="1" customWidth="1"/>
  </cols>
  <sheetData>
    <row r="2" spans="1:5" ht="21.5" thickBot="1" x14ac:dyDescent="0.55000000000000004">
      <c r="A2" s="13" t="s">
        <v>190</v>
      </c>
      <c r="B2" s="13"/>
    </row>
    <row r="3" spans="1:5" ht="15" thickTop="1" x14ac:dyDescent="0.35">
      <c r="A3" s="15" t="s">
        <v>183</v>
      </c>
      <c r="B3" s="3" t="s">
        <v>189</v>
      </c>
    </row>
    <row r="4" spans="1:5" x14ac:dyDescent="0.35">
      <c r="A4" s="3" t="s">
        <v>15</v>
      </c>
      <c r="B4" s="3">
        <v>16</v>
      </c>
    </row>
    <row r="5" spans="1:5" x14ac:dyDescent="0.35">
      <c r="A5" s="3" t="s">
        <v>18</v>
      </c>
      <c r="B5" s="3">
        <v>20</v>
      </c>
    </row>
    <row r="6" spans="1:5" x14ac:dyDescent="0.35">
      <c r="A6" s="3" t="s">
        <v>19</v>
      </c>
      <c r="B6" s="3">
        <v>14</v>
      </c>
    </row>
    <row r="7" spans="1:5" x14ac:dyDescent="0.35">
      <c r="A7" s="3" t="s">
        <v>184</v>
      </c>
      <c r="B7" s="3">
        <v>50</v>
      </c>
    </row>
    <row r="16" spans="1:5" ht="18.5" x14ac:dyDescent="0.45">
      <c r="E16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AEA3-0FE4-4502-8A51-BD5F28EE44A7}">
  <dimension ref="A1:B12"/>
  <sheetViews>
    <sheetView workbookViewId="0">
      <selection activeCell="G17" sqref="G17"/>
    </sheetView>
  </sheetViews>
  <sheetFormatPr defaultRowHeight="14.5" x14ac:dyDescent="0.35"/>
  <cols>
    <col min="1" max="1" width="12.453125" bestFit="1" customWidth="1"/>
    <col min="2" max="2" width="16.08984375" bestFit="1" customWidth="1"/>
  </cols>
  <sheetData>
    <row r="1" spans="1:2" ht="20" thickBot="1" x14ac:dyDescent="0.5">
      <c r="A1" s="4"/>
      <c r="B1" s="4"/>
    </row>
    <row r="2" spans="1:2" ht="20.5" thickTop="1" thickBot="1" x14ac:dyDescent="0.5">
      <c r="A2" s="8" t="s">
        <v>188</v>
      </c>
      <c r="B2" s="8"/>
    </row>
    <row r="3" spans="1:2" ht="15" thickTop="1" x14ac:dyDescent="0.35">
      <c r="A3" s="15" t="s">
        <v>183</v>
      </c>
      <c r="B3" s="3" t="s">
        <v>187</v>
      </c>
    </row>
    <row r="4" spans="1:2" x14ac:dyDescent="0.35">
      <c r="A4" s="3" t="s">
        <v>173</v>
      </c>
      <c r="B4" s="3">
        <v>7</v>
      </c>
    </row>
    <row r="5" spans="1:2" x14ac:dyDescent="0.35">
      <c r="A5" s="3" t="s">
        <v>169</v>
      </c>
      <c r="B5" s="3">
        <v>6</v>
      </c>
    </row>
    <row r="6" spans="1:2" x14ac:dyDescent="0.35">
      <c r="A6" s="3" t="s">
        <v>171</v>
      </c>
      <c r="B6" s="3">
        <v>6</v>
      </c>
    </row>
    <row r="7" spans="1:2" x14ac:dyDescent="0.35">
      <c r="A7" s="3" t="s">
        <v>170</v>
      </c>
      <c r="B7" s="3">
        <v>9</v>
      </c>
    </row>
    <row r="8" spans="1:2" x14ac:dyDescent="0.35">
      <c r="A8" s="3" t="s">
        <v>172</v>
      </c>
      <c r="B8" s="3">
        <v>6</v>
      </c>
    </row>
    <row r="9" spans="1:2" x14ac:dyDescent="0.35">
      <c r="A9" s="3" t="s">
        <v>176</v>
      </c>
      <c r="B9" s="3">
        <v>4</v>
      </c>
    </row>
    <row r="10" spans="1:2" x14ac:dyDescent="0.35">
      <c r="A10" s="3" t="s">
        <v>175</v>
      </c>
      <c r="B10" s="3">
        <v>7</v>
      </c>
    </row>
    <row r="11" spans="1:2" x14ac:dyDescent="0.35">
      <c r="A11" s="3" t="s">
        <v>174</v>
      </c>
      <c r="B11" s="3">
        <v>5</v>
      </c>
    </row>
    <row r="12" spans="1:2" x14ac:dyDescent="0.35">
      <c r="A12" s="3" t="s">
        <v>184</v>
      </c>
      <c r="B12" s="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150B-A7A6-4B6E-9A15-75B7A1799615}">
  <dimension ref="A1:C10"/>
  <sheetViews>
    <sheetView workbookViewId="0">
      <selection activeCell="C18" sqref="C18"/>
    </sheetView>
  </sheetViews>
  <sheetFormatPr defaultRowHeight="14.5" x14ac:dyDescent="0.35"/>
  <cols>
    <col min="1" max="1" width="20.90625" bestFit="1" customWidth="1"/>
    <col min="2" max="2" width="19.7265625" bestFit="1" customWidth="1"/>
  </cols>
  <sheetData>
    <row r="1" spans="1:3" ht="20" thickBot="1" x14ac:dyDescent="0.5">
      <c r="A1" s="5"/>
      <c r="B1" s="5"/>
    </row>
    <row r="2" spans="1:3" ht="20.5" thickTop="1" thickBot="1" x14ac:dyDescent="0.5">
      <c r="A2" s="11" t="s">
        <v>186</v>
      </c>
      <c r="B2" s="6"/>
      <c r="C2" s="7"/>
    </row>
    <row r="3" spans="1:3" ht="15" thickTop="1" x14ac:dyDescent="0.35">
      <c r="A3" s="15" t="s">
        <v>183</v>
      </c>
      <c r="B3" s="3" t="s">
        <v>185</v>
      </c>
    </row>
    <row r="4" spans="1:3" x14ac:dyDescent="0.35">
      <c r="A4" s="3" t="s">
        <v>17</v>
      </c>
      <c r="B4" s="16">
        <v>62500</v>
      </c>
    </row>
    <row r="5" spans="1:3" x14ac:dyDescent="0.35">
      <c r="A5" s="3" t="s">
        <v>27</v>
      </c>
      <c r="B5" s="16">
        <v>61600</v>
      </c>
    </row>
    <row r="6" spans="1:3" x14ac:dyDescent="0.35">
      <c r="A6" s="3" t="s">
        <v>22</v>
      </c>
      <c r="B6" s="16">
        <v>42000</v>
      </c>
    </row>
    <row r="7" spans="1:3" x14ac:dyDescent="0.35">
      <c r="A7" s="3" t="s">
        <v>24</v>
      </c>
      <c r="B7" s="16">
        <v>34000</v>
      </c>
    </row>
    <row r="8" spans="1:3" x14ac:dyDescent="0.35">
      <c r="A8" s="3" t="s">
        <v>31</v>
      </c>
      <c r="B8" s="16">
        <v>45100</v>
      </c>
    </row>
    <row r="9" spans="1:3" x14ac:dyDescent="0.35">
      <c r="A9" s="3" t="s">
        <v>14</v>
      </c>
      <c r="B9" s="16">
        <v>52700</v>
      </c>
    </row>
    <row r="10" spans="1:3" x14ac:dyDescent="0.35">
      <c r="A10" s="3" t="s">
        <v>184</v>
      </c>
      <c r="B10" s="16">
        <v>297900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E89D-9CA6-4AD6-8CAB-99D737B65C87}">
  <dimension ref="A1:M51"/>
  <sheetViews>
    <sheetView tabSelected="1" topLeftCell="A4" zoomScale="64" zoomScaleNormal="99" workbookViewId="0">
      <selection activeCell="K72" sqref="K72"/>
    </sheetView>
  </sheetViews>
  <sheetFormatPr defaultRowHeight="14.5" x14ac:dyDescent="0.35"/>
  <cols>
    <col min="1" max="1" width="18.7265625" bestFit="1" customWidth="1"/>
    <col min="2" max="2" width="23" bestFit="1" customWidth="1"/>
    <col min="3" max="3" width="26.81640625" bestFit="1" customWidth="1"/>
    <col min="4" max="4" width="23.36328125" bestFit="1" customWidth="1"/>
    <col min="5" max="5" width="25.6328125" bestFit="1" customWidth="1"/>
    <col min="6" max="6" width="24.81640625" bestFit="1" customWidth="1"/>
    <col min="7" max="7" width="20" bestFit="1" customWidth="1"/>
    <col min="8" max="8" width="19" bestFit="1" customWidth="1"/>
    <col min="9" max="9" width="20.81640625" customWidth="1"/>
    <col min="10" max="10" width="22.81640625" bestFit="1" customWidth="1"/>
    <col min="11" max="11" width="26.54296875" bestFit="1" customWidth="1"/>
    <col min="12" max="12" width="23.54296875" bestFit="1" customWidth="1"/>
    <col min="13" max="13" width="15" bestFit="1" customWidth="1"/>
  </cols>
  <sheetData>
    <row r="1" spans="1:12" ht="20" thickBot="1" x14ac:dyDescent="0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</row>
    <row r="2" spans="1:12" ht="16.5" thickTop="1" x14ac:dyDescent="0.4">
      <c r="A2" s="18" t="s">
        <v>12</v>
      </c>
      <c r="B2" s="18" t="s">
        <v>74</v>
      </c>
      <c r="C2" s="18" t="s">
        <v>124</v>
      </c>
      <c r="D2" s="18" t="s">
        <v>14</v>
      </c>
      <c r="E2" s="19">
        <v>5000</v>
      </c>
      <c r="F2" s="18" t="s">
        <v>15</v>
      </c>
      <c r="G2" s="20">
        <v>46023</v>
      </c>
      <c r="H2" s="20">
        <v>46025</v>
      </c>
      <c r="I2" s="18" t="s">
        <v>169</v>
      </c>
      <c r="J2" s="18" t="s">
        <v>177</v>
      </c>
      <c r="K2" s="18" t="s">
        <v>182</v>
      </c>
      <c r="L2" s="18">
        <v>4.5</v>
      </c>
    </row>
    <row r="3" spans="1:12" ht="16" x14ac:dyDescent="0.4">
      <c r="A3" s="18" t="s">
        <v>16</v>
      </c>
      <c r="B3" s="18" t="s">
        <v>75</v>
      </c>
      <c r="C3" s="18" t="s">
        <v>13</v>
      </c>
      <c r="D3" s="18" t="s">
        <v>17</v>
      </c>
      <c r="E3" s="19">
        <v>7000</v>
      </c>
      <c r="F3" s="18" t="s">
        <v>18</v>
      </c>
      <c r="G3" s="20">
        <v>46082</v>
      </c>
      <c r="H3" s="20">
        <v>46146</v>
      </c>
      <c r="I3" s="18" t="s">
        <v>170</v>
      </c>
      <c r="J3" s="18" t="s">
        <v>178</v>
      </c>
      <c r="K3" s="18" t="s">
        <v>182</v>
      </c>
      <c r="L3" s="18">
        <v>4.2</v>
      </c>
    </row>
    <row r="4" spans="1:12" ht="16" x14ac:dyDescent="0.4">
      <c r="A4" s="18" t="s">
        <v>20</v>
      </c>
      <c r="B4" s="18" t="s">
        <v>76</v>
      </c>
      <c r="C4" s="18" t="s">
        <v>21</v>
      </c>
      <c r="D4" s="18" t="s">
        <v>22</v>
      </c>
      <c r="E4" s="19">
        <v>6000</v>
      </c>
      <c r="F4" s="18" t="s">
        <v>19</v>
      </c>
      <c r="G4" s="20">
        <v>46143</v>
      </c>
      <c r="H4" s="20" t="s">
        <v>150</v>
      </c>
      <c r="I4" s="18" t="s">
        <v>171</v>
      </c>
      <c r="J4" s="18" t="s">
        <v>179</v>
      </c>
      <c r="K4" s="18" t="s">
        <v>19</v>
      </c>
      <c r="L4" s="18">
        <v>4.8</v>
      </c>
    </row>
    <row r="5" spans="1:12" ht="16" x14ac:dyDescent="0.4">
      <c r="A5" s="18" t="s">
        <v>23</v>
      </c>
      <c r="B5" s="18" t="s">
        <v>77</v>
      </c>
      <c r="C5" s="18" t="s">
        <v>26</v>
      </c>
      <c r="D5" s="18" t="s">
        <v>24</v>
      </c>
      <c r="E5" s="19">
        <v>2500</v>
      </c>
      <c r="F5" s="18" t="s">
        <v>18</v>
      </c>
      <c r="G5" s="20">
        <v>46204</v>
      </c>
      <c r="H5" s="20" t="s">
        <v>152</v>
      </c>
      <c r="I5" s="18" t="s">
        <v>172</v>
      </c>
      <c r="J5" s="18" t="s">
        <v>180</v>
      </c>
      <c r="K5" s="18" t="s">
        <v>19</v>
      </c>
      <c r="L5" s="18">
        <v>4.0999999999999996</v>
      </c>
    </row>
    <row r="6" spans="1:12" ht="16" x14ac:dyDescent="0.4">
      <c r="A6" s="18" t="s">
        <v>25</v>
      </c>
      <c r="B6" s="18" t="s">
        <v>78</v>
      </c>
      <c r="C6" s="18" t="s">
        <v>125</v>
      </c>
      <c r="D6" s="18" t="s">
        <v>27</v>
      </c>
      <c r="E6" s="19">
        <v>3500</v>
      </c>
      <c r="F6" s="18" t="s">
        <v>15</v>
      </c>
      <c r="G6" s="20">
        <v>46296</v>
      </c>
      <c r="H6" s="20" t="s">
        <v>144</v>
      </c>
      <c r="I6" s="18" t="s">
        <v>173</v>
      </c>
      <c r="J6" s="18" t="s">
        <v>181</v>
      </c>
      <c r="K6" s="18" t="s">
        <v>182</v>
      </c>
      <c r="L6" s="18">
        <v>4.5999999999999996</v>
      </c>
    </row>
    <row r="7" spans="1:12" ht="15" customHeight="1" x14ac:dyDescent="0.4">
      <c r="A7" s="18" t="s">
        <v>28</v>
      </c>
      <c r="B7" s="18" t="s">
        <v>95</v>
      </c>
      <c r="C7" s="18" t="s">
        <v>126</v>
      </c>
      <c r="D7" s="18" t="s">
        <v>31</v>
      </c>
      <c r="E7" s="19">
        <v>8000</v>
      </c>
      <c r="F7" s="18" t="s">
        <v>18</v>
      </c>
      <c r="G7" s="20" t="s">
        <v>135</v>
      </c>
      <c r="H7" s="20" t="s">
        <v>154</v>
      </c>
      <c r="I7" s="18" t="s">
        <v>174</v>
      </c>
      <c r="J7" s="18" t="s">
        <v>177</v>
      </c>
      <c r="K7" s="18" t="s">
        <v>19</v>
      </c>
      <c r="L7" s="18">
        <v>4.7</v>
      </c>
    </row>
    <row r="8" spans="1:12" ht="16" x14ac:dyDescent="0.4">
      <c r="A8" s="18" t="s">
        <v>29</v>
      </c>
      <c r="B8" s="18" t="s">
        <v>79</v>
      </c>
      <c r="C8" s="18" t="s">
        <v>13</v>
      </c>
      <c r="D8" s="18" t="s">
        <v>27</v>
      </c>
      <c r="E8" s="19">
        <v>5500</v>
      </c>
      <c r="F8" s="18" t="s">
        <v>19</v>
      </c>
      <c r="G8" s="20" t="s">
        <v>132</v>
      </c>
      <c r="H8" s="20">
        <v>46026</v>
      </c>
      <c r="I8" s="18" t="s">
        <v>175</v>
      </c>
      <c r="J8" s="18" t="s">
        <v>178</v>
      </c>
      <c r="K8" s="18" t="s">
        <v>182</v>
      </c>
      <c r="L8" s="18">
        <v>4.3</v>
      </c>
    </row>
    <row r="9" spans="1:12" ht="16" x14ac:dyDescent="0.4">
      <c r="A9" s="18" t="s">
        <v>30</v>
      </c>
      <c r="B9" s="18" t="s">
        <v>80</v>
      </c>
      <c r="C9" s="18" t="s">
        <v>125</v>
      </c>
      <c r="D9" s="18" t="s">
        <v>14</v>
      </c>
      <c r="E9" s="19">
        <v>4000</v>
      </c>
      <c r="F9" s="21" t="s">
        <v>18</v>
      </c>
      <c r="G9" s="20" t="s">
        <v>136</v>
      </c>
      <c r="H9" s="20">
        <v>46147</v>
      </c>
      <c r="I9" s="18" t="s">
        <v>176</v>
      </c>
      <c r="J9" s="18" t="s">
        <v>179</v>
      </c>
      <c r="K9" s="18" t="s">
        <v>19</v>
      </c>
      <c r="L9" s="18">
        <v>4</v>
      </c>
    </row>
    <row r="10" spans="1:12" ht="16" x14ac:dyDescent="0.4">
      <c r="A10" s="18" t="s">
        <v>32</v>
      </c>
      <c r="B10" s="18" t="s">
        <v>81</v>
      </c>
      <c r="C10" s="18" t="s">
        <v>26</v>
      </c>
      <c r="D10" s="18" t="s">
        <v>31</v>
      </c>
      <c r="E10" s="19">
        <v>4400</v>
      </c>
      <c r="F10" s="21" t="s">
        <v>15</v>
      </c>
      <c r="G10" s="20" t="s">
        <v>133</v>
      </c>
      <c r="H10" s="20">
        <v>46300</v>
      </c>
      <c r="I10" s="18" t="s">
        <v>169</v>
      </c>
      <c r="J10" s="18" t="s">
        <v>180</v>
      </c>
      <c r="K10" s="18" t="s">
        <v>182</v>
      </c>
      <c r="L10" s="18">
        <v>4.9000000000000004</v>
      </c>
    </row>
    <row r="11" spans="1:12" ht="16" x14ac:dyDescent="0.4">
      <c r="A11" s="18" t="s">
        <v>33</v>
      </c>
      <c r="B11" s="18" t="s">
        <v>82</v>
      </c>
      <c r="C11" s="18" t="s">
        <v>21</v>
      </c>
      <c r="D11" s="18" t="s">
        <v>17</v>
      </c>
      <c r="E11" s="19">
        <v>9000</v>
      </c>
      <c r="F11" s="18" t="s">
        <v>18</v>
      </c>
      <c r="G11" s="20" t="s">
        <v>137</v>
      </c>
      <c r="H11" s="20" t="s">
        <v>145</v>
      </c>
      <c r="I11" s="18" t="s">
        <v>170</v>
      </c>
      <c r="J11" s="18" t="s">
        <v>181</v>
      </c>
      <c r="K11" s="18" t="s">
        <v>19</v>
      </c>
      <c r="L11" s="18">
        <v>3.6</v>
      </c>
    </row>
    <row r="12" spans="1:12" ht="16" x14ac:dyDescent="0.4">
      <c r="A12" s="18" t="s">
        <v>34</v>
      </c>
      <c r="B12" s="18" t="s">
        <v>83</v>
      </c>
      <c r="C12" s="18" t="s">
        <v>127</v>
      </c>
      <c r="D12" s="18" t="s">
        <v>14</v>
      </c>
      <c r="E12" s="19">
        <v>6500</v>
      </c>
      <c r="F12" s="18" t="s">
        <v>15</v>
      </c>
      <c r="G12" s="20" t="s">
        <v>134</v>
      </c>
      <c r="H12" s="20" t="s">
        <v>146</v>
      </c>
      <c r="I12" s="18" t="s">
        <v>171</v>
      </c>
      <c r="J12" s="18" t="s">
        <v>180</v>
      </c>
      <c r="K12" s="18" t="s">
        <v>19</v>
      </c>
      <c r="L12" s="18">
        <v>3.9</v>
      </c>
    </row>
    <row r="13" spans="1:12" ht="16" x14ac:dyDescent="0.4">
      <c r="A13" s="18" t="s">
        <v>35</v>
      </c>
      <c r="B13" s="18" t="s">
        <v>84</v>
      </c>
      <c r="C13" s="18" t="s">
        <v>26</v>
      </c>
      <c r="D13" s="18" t="s">
        <v>17</v>
      </c>
      <c r="E13" s="19">
        <v>8500</v>
      </c>
      <c r="F13" s="18" t="s">
        <v>18</v>
      </c>
      <c r="G13" s="20">
        <v>46024</v>
      </c>
      <c r="H13" s="20">
        <v>46300</v>
      </c>
      <c r="I13" s="18" t="s">
        <v>172</v>
      </c>
      <c r="J13" s="18" t="s">
        <v>177</v>
      </c>
      <c r="K13" s="18" t="s">
        <v>19</v>
      </c>
      <c r="L13" s="18">
        <v>4.0999999999999996</v>
      </c>
    </row>
    <row r="14" spans="1:12" ht="16" x14ac:dyDescent="0.4">
      <c r="A14" s="18" t="s">
        <v>36</v>
      </c>
      <c r="B14" s="18" t="s">
        <v>85</v>
      </c>
      <c r="C14" s="18" t="s">
        <v>13</v>
      </c>
      <c r="D14" s="18" t="s">
        <v>22</v>
      </c>
      <c r="E14" s="19">
        <v>5000</v>
      </c>
      <c r="F14" s="18" t="s">
        <v>19</v>
      </c>
      <c r="G14" s="20">
        <v>46083</v>
      </c>
      <c r="H14" s="20" t="s">
        <v>155</v>
      </c>
      <c r="I14" s="18" t="s">
        <v>173</v>
      </c>
      <c r="J14" s="18" t="s">
        <v>178</v>
      </c>
      <c r="K14" s="18" t="s">
        <v>182</v>
      </c>
      <c r="L14" s="18">
        <v>4.3</v>
      </c>
    </row>
    <row r="15" spans="1:12" ht="16" x14ac:dyDescent="0.4">
      <c r="A15" s="18" t="s">
        <v>37</v>
      </c>
      <c r="B15" s="18" t="s">
        <v>86</v>
      </c>
      <c r="C15" s="18" t="s">
        <v>128</v>
      </c>
      <c r="D15" s="18" t="s">
        <v>24</v>
      </c>
      <c r="E15" s="19">
        <v>3000</v>
      </c>
      <c r="F15" s="21" t="s">
        <v>18</v>
      </c>
      <c r="G15" s="20">
        <v>46144</v>
      </c>
      <c r="H15" s="20" t="s">
        <v>153</v>
      </c>
      <c r="I15" s="18" t="s">
        <v>174</v>
      </c>
      <c r="J15" s="18" t="s">
        <v>179</v>
      </c>
      <c r="K15" s="18" t="s">
        <v>19</v>
      </c>
      <c r="L15" s="18">
        <v>4.2</v>
      </c>
    </row>
    <row r="16" spans="1:12" ht="16" x14ac:dyDescent="0.4">
      <c r="A16" s="18" t="s">
        <v>38</v>
      </c>
      <c r="B16" s="18" t="s">
        <v>87</v>
      </c>
      <c r="C16" s="18" t="s">
        <v>21</v>
      </c>
      <c r="D16" s="18" t="s">
        <v>27</v>
      </c>
      <c r="E16" s="19">
        <v>9200</v>
      </c>
      <c r="F16" s="21" t="s">
        <v>15</v>
      </c>
      <c r="G16" s="20">
        <v>46205</v>
      </c>
      <c r="H16" s="20" t="s">
        <v>157</v>
      </c>
      <c r="I16" s="18" t="s">
        <v>175</v>
      </c>
      <c r="J16" s="18" t="s">
        <v>180</v>
      </c>
      <c r="K16" s="18" t="s">
        <v>182</v>
      </c>
      <c r="L16" s="18">
        <v>5.5</v>
      </c>
    </row>
    <row r="17" spans="1:13" ht="16" x14ac:dyDescent="0.4">
      <c r="A17" s="18" t="s">
        <v>39</v>
      </c>
      <c r="B17" s="18" t="s">
        <v>88</v>
      </c>
      <c r="C17" s="18" t="s">
        <v>125</v>
      </c>
      <c r="D17" s="18" t="s">
        <v>31</v>
      </c>
      <c r="E17" s="19">
        <v>3500</v>
      </c>
      <c r="F17" s="18" t="s">
        <v>19</v>
      </c>
      <c r="G17" s="20">
        <v>46297</v>
      </c>
      <c r="H17" s="20" t="s">
        <v>159</v>
      </c>
      <c r="I17" s="18" t="s">
        <v>170</v>
      </c>
      <c r="J17" s="18" t="s">
        <v>181</v>
      </c>
      <c r="K17" s="18" t="s">
        <v>19</v>
      </c>
      <c r="L17" s="18">
        <v>4.8</v>
      </c>
    </row>
    <row r="18" spans="1:13" ht="16" x14ac:dyDescent="0.4">
      <c r="A18" s="18" t="s">
        <v>40</v>
      </c>
      <c r="B18" s="18" t="s">
        <v>89</v>
      </c>
      <c r="C18" s="18" t="s">
        <v>129</v>
      </c>
      <c r="D18" s="18" t="s">
        <v>17</v>
      </c>
      <c r="E18" s="19">
        <v>7000</v>
      </c>
      <c r="F18" s="18" t="s">
        <v>15</v>
      </c>
      <c r="G18" s="20" t="s">
        <v>141</v>
      </c>
      <c r="H18" s="20" t="s">
        <v>160</v>
      </c>
      <c r="I18" s="18" t="s">
        <v>176</v>
      </c>
      <c r="J18" s="18" t="s">
        <v>177</v>
      </c>
      <c r="K18" s="18" t="s">
        <v>19</v>
      </c>
      <c r="L18" s="18">
        <v>4.9000000000000004</v>
      </c>
    </row>
    <row r="19" spans="1:13" ht="16" x14ac:dyDescent="0.4">
      <c r="A19" s="18" t="s">
        <v>41</v>
      </c>
      <c r="B19" s="18" t="s">
        <v>90</v>
      </c>
      <c r="C19" s="18" t="s">
        <v>130</v>
      </c>
      <c r="D19" s="18" t="s">
        <v>27</v>
      </c>
      <c r="E19" s="19">
        <v>2500</v>
      </c>
      <c r="F19" s="18" t="s">
        <v>18</v>
      </c>
      <c r="G19" s="20" t="s">
        <v>142</v>
      </c>
      <c r="H19" s="20">
        <v>46086</v>
      </c>
      <c r="I19" s="18" t="s">
        <v>175</v>
      </c>
      <c r="J19" s="18" t="s">
        <v>178</v>
      </c>
      <c r="K19" s="18" t="s">
        <v>19</v>
      </c>
      <c r="L19" s="18">
        <v>3.5</v>
      </c>
    </row>
    <row r="20" spans="1:13" ht="16" x14ac:dyDescent="0.4">
      <c r="A20" s="18" t="s">
        <v>42</v>
      </c>
      <c r="B20" s="18" t="s">
        <v>91</v>
      </c>
      <c r="C20" s="18" t="s">
        <v>13</v>
      </c>
      <c r="D20" s="18" t="s">
        <v>14</v>
      </c>
      <c r="E20" s="19">
        <v>9700</v>
      </c>
      <c r="F20" s="18" t="s">
        <v>19</v>
      </c>
      <c r="G20" s="20" t="s">
        <v>143</v>
      </c>
      <c r="H20" s="20">
        <v>46300</v>
      </c>
      <c r="I20" s="18" t="s">
        <v>169</v>
      </c>
      <c r="J20" s="18" t="s">
        <v>180</v>
      </c>
      <c r="K20" s="18" t="s">
        <v>182</v>
      </c>
      <c r="L20" s="18">
        <v>3.7</v>
      </c>
      <c r="M20" s="1"/>
    </row>
    <row r="21" spans="1:13" ht="16" x14ac:dyDescent="0.4">
      <c r="A21" s="18" t="s">
        <v>43</v>
      </c>
      <c r="B21" s="18" t="s">
        <v>92</v>
      </c>
      <c r="C21" s="18" t="s">
        <v>26</v>
      </c>
      <c r="D21" s="18" t="s">
        <v>14</v>
      </c>
      <c r="E21" s="19">
        <v>3400</v>
      </c>
      <c r="F21" s="21" t="s">
        <v>18</v>
      </c>
      <c r="G21" s="20" t="s">
        <v>144</v>
      </c>
      <c r="H21" s="20" t="s">
        <v>161</v>
      </c>
      <c r="I21" s="18" t="s">
        <v>170</v>
      </c>
      <c r="J21" s="18" t="s">
        <v>181</v>
      </c>
      <c r="K21" s="18" t="s">
        <v>19</v>
      </c>
      <c r="L21" s="18">
        <v>3.8</v>
      </c>
    </row>
    <row r="22" spans="1:13" ht="16" x14ac:dyDescent="0.4">
      <c r="A22" s="18" t="s">
        <v>44</v>
      </c>
      <c r="B22" s="18" t="s">
        <v>93</v>
      </c>
      <c r="C22" s="18" t="s">
        <v>126</v>
      </c>
      <c r="D22" s="18" t="s">
        <v>17</v>
      </c>
      <c r="E22" s="19">
        <v>2700</v>
      </c>
      <c r="F22" s="21" t="s">
        <v>15</v>
      </c>
      <c r="G22" s="20" t="s">
        <v>145</v>
      </c>
      <c r="H22" s="20" t="s">
        <v>140</v>
      </c>
      <c r="I22" s="18" t="s">
        <v>171</v>
      </c>
      <c r="J22" s="18" t="s">
        <v>180</v>
      </c>
      <c r="K22" s="18" t="s">
        <v>182</v>
      </c>
      <c r="L22" s="18">
        <v>3.9</v>
      </c>
    </row>
    <row r="23" spans="1:13" ht="16" x14ac:dyDescent="0.4">
      <c r="A23" s="18" t="s">
        <v>45</v>
      </c>
      <c r="B23" s="18" t="s">
        <v>94</v>
      </c>
      <c r="C23" s="18" t="s">
        <v>127</v>
      </c>
      <c r="D23" s="18" t="s">
        <v>22</v>
      </c>
      <c r="E23" s="19">
        <v>8800</v>
      </c>
      <c r="F23" s="18" t="s">
        <v>18</v>
      </c>
      <c r="G23" s="20" t="s">
        <v>146</v>
      </c>
      <c r="H23" s="20" t="s">
        <v>162</v>
      </c>
      <c r="I23" s="18" t="s">
        <v>172</v>
      </c>
      <c r="J23" s="18" t="s">
        <v>181</v>
      </c>
      <c r="K23" s="18" t="s">
        <v>19</v>
      </c>
      <c r="L23" s="18">
        <v>4</v>
      </c>
    </row>
    <row r="24" spans="1:13" ht="16" x14ac:dyDescent="0.4">
      <c r="A24" s="18" t="s">
        <v>46</v>
      </c>
      <c r="B24" s="18" t="s">
        <v>96</v>
      </c>
      <c r="C24" s="18" t="s">
        <v>124</v>
      </c>
      <c r="D24" s="18" t="s">
        <v>24</v>
      </c>
      <c r="E24" s="19">
        <v>9500</v>
      </c>
      <c r="F24" s="18" t="s">
        <v>15</v>
      </c>
      <c r="G24" s="20">
        <v>46025</v>
      </c>
      <c r="H24" s="20">
        <v>46147</v>
      </c>
      <c r="I24" s="18" t="s">
        <v>173</v>
      </c>
      <c r="J24" s="18" t="s">
        <v>179</v>
      </c>
      <c r="K24" s="18" t="s">
        <v>182</v>
      </c>
      <c r="L24" s="18">
        <v>4.9000000000000004</v>
      </c>
    </row>
    <row r="25" spans="1:13" ht="15" customHeight="1" x14ac:dyDescent="0.4">
      <c r="A25" s="18" t="s">
        <v>47</v>
      </c>
      <c r="B25" s="18" t="s">
        <v>97</v>
      </c>
      <c r="C25" s="21" t="s">
        <v>129</v>
      </c>
      <c r="D25" s="18" t="s">
        <v>27</v>
      </c>
      <c r="E25" s="19">
        <v>9000</v>
      </c>
      <c r="F25" s="18" t="s">
        <v>19</v>
      </c>
      <c r="G25" s="20">
        <v>46084</v>
      </c>
      <c r="H25" s="20">
        <v>46300</v>
      </c>
      <c r="I25" s="18" t="s">
        <v>174</v>
      </c>
      <c r="J25" s="18" t="s">
        <v>177</v>
      </c>
      <c r="K25" s="18" t="s">
        <v>19</v>
      </c>
      <c r="L25" s="18">
        <v>4.2</v>
      </c>
    </row>
    <row r="26" spans="1:13" ht="16" x14ac:dyDescent="0.4">
      <c r="A26" s="18" t="s">
        <v>48</v>
      </c>
      <c r="B26" s="18" t="s">
        <v>98</v>
      </c>
      <c r="C26" s="21" t="s">
        <v>128</v>
      </c>
      <c r="D26" s="18" t="s">
        <v>31</v>
      </c>
      <c r="E26" s="19">
        <v>4000</v>
      </c>
      <c r="F26" s="18" t="s">
        <v>18</v>
      </c>
      <c r="G26" s="20">
        <v>46145</v>
      </c>
      <c r="H26" s="20" t="s">
        <v>155</v>
      </c>
      <c r="I26" s="18" t="s">
        <v>175</v>
      </c>
      <c r="J26" s="18" t="s">
        <v>178</v>
      </c>
      <c r="K26" s="18" t="s">
        <v>182</v>
      </c>
      <c r="L26" s="18">
        <v>4.8</v>
      </c>
    </row>
    <row r="27" spans="1:13" ht="16" x14ac:dyDescent="0.4">
      <c r="A27" s="18" t="s">
        <v>49</v>
      </c>
      <c r="B27" s="18" t="s">
        <v>99</v>
      </c>
      <c r="C27" s="18" t="s">
        <v>130</v>
      </c>
      <c r="D27" s="18" t="s">
        <v>27</v>
      </c>
      <c r="E27" s="19">
        <v>4400</v>
      </c>
      <c r="F27" s="18" t="s">
        <v>15</v>
      </c>
      <c r="G27" s="20">
        <v>46206</v>
      </c>
      <c r="H27" s="20">
        <v>46026</v>
      </c>
      <c r="I27" s="18" t="s">
        <v>170</v>
      </c>
      <c r="J27" s="18" t="s">
        <v>179</v>
      </c>
      <c r="K27" s="18" t="s">
        <v>19</v>
      </c>
      <c r="L27" s="18">
        <v>4.0999999999999996</v>
      </c>
    </row>
    <row r="28" spans="1:13" ht="16" x14ac:dyDescent="0.4">
      <c r="A28" s="18" t="s">
        <v>50</v>
      </c>
      <c r="B28" s="18" t="s">
        <v>100</v>
      </c>
      <c r="C28" s="18" t="s">
        <v>131</v>
      </c>
      <c r="D28" s="18" t="s">
        <v>14</v>
      </c>
      <c r="E28" s="19">
        <v>3800</v>
      </c>
      <c r="F28" s="18" t="s">
        <v>18</v>
      </c>
      <c r="G28" s="20">
        <v>46298</v>
      </c>
      <c r="H28" s="20">
        <v>46148</v>
      </c>
      <c r="I28" s="18" t="s">
        <v>173</v>
      </c>
      <c r="J28" s="18" t="s">
        <v>180</v>
      </c>
      <c r="K28" s="18" t="s">
        <v>182</v>
      </c>
      <c r="L28" s="18">
        <v>4.7</v>
      </c>
    </row>
    <row r="29" spans="1:13" ht="16" x14ac:dyDescent="0.4">
      <c r="A29" s="18" t="s">
        <v>51</v>
      </c>
      <c r="B29" s="18" t="s">
        <v>101</v>
      </c>
      <c r="C29" s="18" t="s">
        <v>26</v>
      </c>
      <c r="D29" s="18" t="s">
        <v>27</v>
      </c>
      <c r="E29" s="19">
        <v>5500</v>
      </c>
      <c r="F29" s="18" t="s">
        <v>19</v>
      </c>
      <c r="G29" s="20" t="s">
        <v>147</v>
      </c>
      <c r="H29" s="20">
        <v>46300</v>
      </c>
      <c r="I29" s="18" t="s">
        <v>175</v>
      </c>
      <c r="J29" s="18" t="s">
        <v>181</v>
      </c>
      <c r="K29" s="18" t="s">
        <v>19</v>
      </c>
      <c r="L29" s="18">
        <v>4.5</v>
      </c>
    </row>
    <row r="30" spans="1:13" ht="16" x14ac:dyDescent="0.4">
      <c r="A30" s="18" t="s">
        <v>52</v>
      </c>
      <c r="B30" s="18" t="s">
        <v>102</v>
      </c>
      <c r="C30" s="18" t="s">
        <v>21</v>
      </c>
      <c r="D30" s="18" t="s">
        <v>17</v>
      </c>
      <c r="E30" s="19">
        <v>3000</v>
      </c>
      <c r="F30" s="18" t="s">
        <v>18</v>
      </c>
      <c r="G30" s="20" t="s">
        <v>148</v>
      </c>
      <c r="H30" s="20" t="s">
        <v>138</v>
      </c>
      <c r="I30" s="18" t="s">
        <v>169</v>
      </c>
      <c r="J30" s="18" t="s">
        <v>178</v>
      </c>
      <c r="K30" s="18" t="s">
        <v>19</v>
      </c>
      <c r="L30" s="18">
        <v>4.5999999999999996</v>
      </c>
    </row>
    <row r="31" spans="1:13" ht="16" x14ac:dyDescent="0.4">
      <c r="A31" s="18" t="s">
        <v>53</v>
      </c>
      <c r="B31" s="18" t="s">
        <v>103</v>
      </c>
      <c r="C31" s="18" t="s">
        <v>125</v>
      </c>
      <c r="D31" s="18" t="s">
        <v>31</v>
      </c>
      <c r="E31" s="19">
        <v>6500</v>
      </c>
      <c r="F31" s="18" t="s">
        <v>15</v>
      </c>
      <c r="G31" s="20" t="s">
        <v>149</v>
      </c>
      <c r="H31" s="20" t="s">
        <v>140</v>
      </c>
      <c r="I31" s="18" t="s">
        <v>170</v>
      </c>
      <c r="J31" s="18" t="s">
        <v>177</v>
      </c>
      <c r="K31" s="18" t="s">
        <v>182</v>
      </c>
      <c r="L31" s="18">
        <v>4.4000000000000004</v>
      </c>
    </row>
    <row r="32" spans="1:13" ht="16" x14ac:dyDescent="0.4">
      <c r="A32" s="18" t="s">
        <v>54</v>
      </c>
      <c r="B32" s="18" t="s">
        <v>104</v>
      </c>
      <c r="C32" s="18" t="s">
        <v>13</v>
      </c>
      <c r="D32" s="18" t="s">
        <v>14</v>
      </c>
      <c r="E32" s="19">
        <v>7000</v>
      </c>
      <c r="F32" s="18" t="s">
        <v>18</v>
      </c>
      <c r="G32" s="20" t="s">
        <v>150</v>
      </c>
      <c r="H32" s="20" t="s">
        <v>139</v>
      </c>
      <c r="I32" s="18" t="s">
        <v>171</v>
      </c>
      <c r="J32" s="18" t="s">
        <v>178</v>
      </c>
      <c r="K32" s="18" t="s">
        <v>182</v>
      </c>
      <c r="L32" s="18">
        <v>4.2</v>
      </c>
    </row>
    <row r="33" spans="1:12" ht="16" x14ac:dyDescent="0.4">
      <c r="A33" s="18" t="s">
        <v>55</v>
      </c>
      <c r="B33" s="18" t="s">
        <v>105</v>
      </c>
      <c r="C33" s="18" t="s">
        <v>127</v>
      </c>
      <c r="D33" s="18" t="s">
        <v>17</v>
      </c>
      <c r="E33" s="19">
        <v>7500</v>
      </c>
      <c r="F33" s="18" t="s">
        <v>19</v>
      </c>
      <c r="G33" s="20" t="s">
        <v>151</v>
      </c>
      <c r="H33" s="20" t="s">
        <v>163</v>
      </c>
      <c r="I33" s="18" t="s">
        <v>172</v>
      </c>
      <c r="J33" s="18" t="s">
        <v>179</v>
      </c>
      <c r="K33" s="18" t="s">
        <v>19</v>
      </c>
      <c r="L33" s="18">
        <v>3.5</v>
      </c>
    </row>
    <row r="34" spans="1:12" ht="16" x14ac:dyDescent="0.4">
      <c r="A34" s="18" t="s">
        <v>56</v>
      </c>
      <c r="B34" s="18" t="s">
        <v>106</v>
      </c>
      <c r="C34" s="18" t="s">
        <v>128</v>
      </c>
      <c r="D34" s="18" t="s">
        <v>22</v>
      </c>
      <c r="E34" s="19">
        <v>9000</v>
      </c>
      <c r="F34" s="18" t="s">
        <v>18</v>
      </c>
      <c r="G34" s="20">
        <v>46026</v>
      </c>
      <c r="H34" s="20">
        <v>46027</v>
      </c>
      <c r="I34" s="18" t="s">
        <v>173</v>
      </c>
      <c r="J34" s="18" t="s">
        <v>180</v>
      </c>
      <c r="K34" s="18" t="s">
        <v>19</v>
      </c>
      <c r="L34" s="18">
        <v>4.4000000000000004</v>
      </c>
    </row>
    <row r="35" spans="1:12" ht="16" x14ac:dyDescent="0.4">
      <c r="A35" s="18" t="s">
        <v>57</v>
      </c>
      <c r="B35" s="18" t="s">
        <v>107</v>
      </c>
      <c r="C35" s="18" t="s">
        <v>26</v>
      </c>
      <c r="D35" s="18" t="s">
        <v>24</v>
      </c>
      <c r="E35" s="19">
        <v>9700</v>
      </c>
      <c r="F35" s="18" t="s">
        <v>15</v>
      </c>
      <c r="G35" s="20">
        <v>46146</v>
      </c>
      <c r="H35" s="20">
        <v>46027</v>
      </c>
      <c r="I35" s="18" t="s">
        <v>174</v>
      </c>
      <c r="J35" s="18" t="s">
        <v>181</v>
      </c>
      <c r="K35" s="18" t="s">
        <v>182</v>
      </c>
      <c r="L35" s="18">
        <v>3.7</v>
      </c>
    </row>
    <row r="36" spans="1:12" ht="16" x14ac:dyDescent="0.4">
      <c r="A36" s="18" t="s">
        <v>58</v>
      </c>
      <c r="B36" s="18" t="s">
        <v>108</v>
      </c>
      <c r="C36" s="18" t="s">
        <v>129</v>
      </c>
      <c r="D36" s="18" t="s">
        <v>27</v>
      </c>
      <c r="E36" s="19">
        <v>5000</v>
      </c>
      <c r="F36" s="18" t="s">
        <v>19</v>
      </c>
      <c r="G36" s="20">
        <v>46299</v>
      </c>
      <c r="H36" s="20">
        <v>46301</v>
      </c>
      <c r="I36" s="18" t="s">
        <v>175</v>
      </c>
      <c r="J36" s="18" t="s">
        <v>178</v>
      </c>
      <c r="K36" s="18" t="s">
        <v>182</v>
      </c>
      <c r="L36" s="18">
        <v>4.2</v>
      </c>
    </row>
    <row r="37" spans="1:12" ht="16" x14ac:dyDescent="0.4">
      <c r="A37" s="18" t="s">
        <v>59</v>
      </c>
      <c r="B37" s="18" t="s">
        <v>109</v>
      </c>
      <c r="C37" s="18" t="s">
        <v>130</v>
      </c>
      <c r="D37" s="18" t="s">
        <v>31</v>
      </c>
      <c r="E37" s="19">
        <v>6000</v>
      </c>
      <c r="F37" s="18" t="s">
        <v>18</v>
      </c>
      <c r="G37" s="20" t="s">
        <v>152</v>
      </c>
      <c r="H37" s="20" t="s">
        <v>158</v>
      </c>
      <c r="I37" s="18" t="s">
        <v>176</v>
      </c>
      <c r="J37" s="18" t="s">
        <v>179</v>
      </c>
      <c r="K37" s="18" t="s">
        <v>19</v>
      </c>
      <c r="L37" s="18">
        <v>3.9</v>
      </c>
    </row>
    <row r="38" spans="1:12" ht="16" x14ac:dyDescent="0.4">
      <c r="A38" s="18" t="s">
        <v>60</v>
      </c>
      <c r="B38" s="18" t="s">
        <v>110</v>
      </c>
      <c r="C38" s="18" t="s">
        <v>131</v>
      </c>
      <c r="D38" s="18" t="s">
        <v>27</v>
      </c>
      <c r="E38" s="19">
        <v>7000</v>
      </c>
      <c r="F38" s="18" t="s">
        <v>15</v>
      </c>
      <c r="G38" s="20" t="s">
        <v>153</v>
      </c>
      <c r="H38" s="20" t="s">
        <v>156</v>
      </c>
      <c r="I38" s="18" t="s">
        <v>170</v>
      </c>
      <c r="J38" s="18" t="s">
        <v>177</v>
      </c>
      <c r="K38" s="18" t="s">
        <v>182</v>
      </c>
      <c r="L38" s="18">
        <v>4.4000000000000004</v>
      </c>
    </row>
    <row r="39" spans="1:12" ht="16" x14ac:dyDescent="0.4">
      <c r="A39" s="18" t="s">
        <v>61</v>
      </c>
      <c r="B39" s="18" t="s">
        <v>111</v>
      </c>
      <c r="C39" s="18" t="s">
        <v>126</v>
      </c>
      <c r="D39" s="18" t="s">
        <v>17</v>
      </c>
      <c r="E39" s="19">
        <v>7500</v>
      </c>
      <c r="F39" s="18" t="s">
        <v>19</v>
      </c>
      <c r="G39" s="20" t="s">
        <v>154</v>
      </c>
      <c r="H39" s="20" t="s">
        <v>164</v>
      </c>
      <c r="I39" s="18" t="s">
        <v>176</v>
      </c>
      <c r="J39" s="18" t="s">
        <v>178</v>
      </c>
      <c r="K39" s="18" t="s">
        <v>19</v>
      </c>
      <c r="L39" s="18">
        <v>4.3</v>
      </c>
    </row>
    <row r="40" spans="1:12" ht="16" x14ac:dyDescent="0.4">
      <c r="A40" s="18" t="s">
        <v>62</v>
      </c>
      <c r="B40" s="18" t="s">
        <v>112</v>
      </c>
      <c r="C40" s="18" t="s">
        <v>125</v>
      </c>
      <c r="D40" s="18" t="s">
        <v>31</v>
      </c>
      <c r="E40" s="19">
        <v>2500</v>
      </c>
      <c r="F40" s="18" t="s">
        <v>18</v>
      </c>
      <c r="G40" s="20">
        <v>46027</v>
      </c>
      <c r="H40" s="20">
        <v>46029</v>
      </c>
      <c r="I40" s="18" t="s">
        <v>169</v>
      </c>
      <c r="J40" s="18" t="s">
        <v>179</v>
      </c>
      <c r="K40" s="18" t="s">
        <v>182</v>
      </c>
      <c r="L40" s="18">
        <v>3.6</v>
      </c>
    </row>
    <row r="41" spans="1:12" ht="16" x14ac:dyDescent="0.4">
      <c r="A41" s="18" t="s">
        <v>63</v>
      </c>
      <c r="B41" s="18" t="s">
        <v>113</v>
      </c>
      <c r="C41" s="18" t="s">
        <v>13</v>
      </c>
      <c r="D41" s="18" t="s">
        <v>14</v>
      </c>
      <c r="E41" s="19">
        <v>3500</v>
      </c>
      <c r="F41" s="18" t="s">
        <v>19</v>
      </c>
      <c r="G41" s="20">
        <v>46147</v>
      </c>
      <c r="H41" s="20">
        <v>46150</v>
      </c>
      <c r="I41" s="18" t="s">
        <v>170</v>
      </c>
      <c r="J41" s="18" t="s">
        <v>180</v>
      </c>
      <c r="K41" s="18" t="s">
        <v>182</v>
      </c>
      <c r="L41" s="18">
        <v>3.5</v>
      </c>
    </row>
    <row r="42" spans="1:12" ht="16" x14ac:dyDescent="0.4">
      <c r="A42" s="18" t="s">
        <v>64</v>
      </c>
      <c r="B42" s="18" t="s">
        <v>114</v>
      </c>
      <c r="C42" s="18" t="s">
        <v>26</v>
      </c>
      <c r="D42" s="18" t="s">
        <v>17</v>
      </c>
      <c r="E42" s="19">
        <v>3800</v>
      </c>
      <c r="F42" s="18" t="s">
        <v>15</v>
      </c>
      <c r="G42" s="20">
        <v>46300</v>
      </c>
      <c r="H42" s="20">
        <v>46303</v>
      </c>
      <c r="I42" s="18" t="s">
        <v>171</v>
      </c>
      <c r="J42" s="18" t="s">
        <v>181</v>
      </c>
      <c r="K42" s="18" t="s">
        <v>182</v>
      </c>
      <c r="L42" s="18">
        <v>3.9</v>
      </c>
    </row>
    <row r="43" spans="1:12" ht="16" x14ac:dyDescent="0.4">
      <c r="A43" s="18" t="s">
        <v>65</v>
      </c>
      <c r="B43" s="18" t="s">
        <v>115</v>
      </c>
      <c r="C43" s="18" t="s">
        <v>21</v>
      </c>
      <c r="D43" s="18" t="s">
        <v>22</v>
      </c>
      <c r="E43" s="19">
        <v>4400</v>
      </c>
      <c r="F43" s="18" t="s">
        <v>18</v>
      </c>
      <c r="G43" s="20" t="s">
        <v>155</v>
      </c>
      <c r="H43" s="20" t="s">
        <v>168</v>
      </c>
      <c r="I43" s="18" t="s">
        <v>172</v>
      </c>
      <c r="J43" s="18" t="s">
        <v>177</v>
      </c>
      <c r="K43" s="18" t="s">
        <v>19</v>
      </c>
      <c r="L43" s="18">
        <v>3.9</v>
      </c>
    </row>
    <row r="44" spans="1:12" ht="16" x14ac:dyDescent="0.4">
      <c r="A44" s="18" t="s">
        <v>66</v>
      </c>
      <c r="B44" s="18" t="s">
        <v>116</v>
      </c>
      <c r="C44" s="18" t="s">
        <v>128</v>
      </c>
      <c r="D44" s="18" t="s">
        <v>24</v>
      </c>
      <c r="E44" s="19">
        <v>9300</v>
      </c>
      <c r="F44" s="18" t="s">
        <v>19</v>
      </c>
      <c r="G44" s="20" t="s">
        <v>156</v>
      </c>
      <c r="H44" s="20" t="s">
        <v>140</v>
      </c>
      <c r="I44" s="18" t="s">
        <v>173</v>
      </c>
      <c r="J44" s="18" t="s">
        <v>178</v>
      </c>
      <c r="K44" s="18" t="s">
        <v>19</v>
      </c>
      <c r="L44" s="18">
        <v>4.9000000000000004</v>
      </c>
    </row>
    <row r="45" spans="1:12" ht="16" x14ac:dyDescent="0.4">
      <c r="A45" s="18" t="s">
        <v>67</v>
      </c>
      <c r="B45" s="18" t="s">
        <v>117</v>
      </c>
      <c r="C45" s="18" t="s">
        <v>129</v>
      </c>
      <c r="D45" s="18" t="s">
        <v>27</v>
      </c>
      <c r="E45" s="19">
        <v>3200</v>
      </c>
      <c r="F45" s="18" t="s">
        <v>15</v>
      </c>
      <c r="G45" s="20" t="s">
        <v>157</v>
      </c>
      <c r="H45" s="20" t="s">
        <v>167</v>
      </c>
      <c r="I45" s="18" t="s">
        <v>174</v>
      </c>
      <c r="J45" s="18" t="s">
        <v>179</v>
      </c>
      <c r="K45" s="18" t="s">
        <v>182</v>
      </c>
      <c r="L45" s="18">
        <v>4.5</v>
      </c>
    </row>
    <row r="46" spans="1:12" ht="16" x14ac:dyDescent="0.4">
      <c r="A46" s="18" t="s">
        <v>68</v>
      </c>
      <c r="B46" s="18" t="s">
        <v>118</v>
      </c>
      <c r="C46" s="18" t="s">
        <v>127</v>
      </c>
      <c r="D46" s="18" t="s">
        <v>31</v>
      </c>
      <c r="E46" s="19">
        <v>6200</v>
      </c>
      <c r="F46" s="18" t="s">
        <v>18</v>
      </c>
      <c r="G46" s="20">
        <v>46028</v>
      </c>
      <c r="H46" s="20">
        <v>46030</v>
      </c>
      <c r="I46" s="18" t="s">
        <v>175</v>
      </c>
      <c r="J46" s="18" t="s">
        <v>180</v>
      </c>
      <c r="K46" s="18" t="s">
        <v>19</v>
      </c>
      <c r="L46" s="18">
        <v>4.0999999999999996</v>
      </c>
    </row>
    <row r="47" spans="1:12" ht="16" x14ac:dyDescent="0.4">
      <c r="A47" s="18" t="s">
        <v>69</v>
      </c>
      <c r="B47" s="18" t="s">
        <v>119</v>
      </c>
      <c r="C47" s="18" t="s">
        <v>13</v>
      </c>
      <c r="D47" s="18" t="s">
        <v>17</v>
      </c>
      <c r="E47" s="19">
        <v>6500</v>
      </c>
      <c r="F47" s="18" t="s">
        <v>19</v>
      </c>
      <c r="G47" s="20">
        <v>46148</v>
      </c>
      <c r="H47" s="20">
        <v>46151</v>
      </c>
      <c r="I47" s="18" t="s">
        <v>173</v>
      </c>
      <c r="J47" s="18" t="s">
        <v>181</v>
      </c>
      <c r="K47" s="18" t="s">
        <v>182</v>
      </c>
      <c r="L47" s="18">
        <v>4</v>
      </c>
    </row>
    <row r="48" spans="1:12" ht="16" x14ac:dyDescent="0.4">
      <c r="A48" s="18" t="s">
        <v>70</v>
      </c>
      <c r="B48" s="18" t="s">
        <v>120</v>
      </c>
      <c r="C48" s="18" t="s">
        <v>126</v>
      </c>
      <c r="D48" s="18" t="s">
        <v>27</v>
      </c>
      <c r="E48" s="19">
        <v>6800</v>
      </c>
      <c r="F48" s="18" t="s">
        <v>15</v>
      </c>
      <c r="G48" s="20">
        <v>46301</v>
      </c>
      <c r="H48" s="20">
        <v>46302</v>
      </c>
      <c r="I48" s="18" t="s">
        <v>172</v>
      </c>
      <c r="J48" s="18" t="s">
        <v>178</v>
      </c>
      <c r="K48" s="18" t="s">
        <v>19</v>
      </c>
      <c r="L48" s="18">
        <v>4.7</v>
      </c>
    </row>
    <row r="49" spans="1:12" ht="16" x14ac:dyDescent="0.4">
      <c r="A49" s="18" t="s">
        <v>71</v>
      </c>
      <c r="B49" s="18" t="s">
        <v>121</v>
      </c>
      <c r="C49" s="18" t="s">
        <v>125</v>
      </c>
      <c r="D49" s="18" t="s">
        <v>22</v>
      </c>
      <c r="E49" s="19">
        <v>8800</v>
      </c>
      <c r="F49" s="18" t="s">
        <v>19</v>
      </c>
      <c r="G49" s="20" t="s">
        <v>138</v>
      </c>
      <c r="H49" s="20" t="s">
        <v>166</v>
      </c>
      <c r="I49" s="18" t="s">
        <v>171</v>
      </c>
      <c r="J49" s="18" t="s">
        <v>179</v>
      </c>
      <c r="K49" s="18" t="s">
        <v>182</v>
      </c>
      <c r="L49" s="18">
        <v>4.9000000000000004</v>
      </c>
    </row>
    <row r="50" spans="1:12" ht="16" x14ac:dyDescent="0.4">
      <c r="A50" s="18" t="s">
        <v>72</v>
      </c>
      <c r="B50" s="18" t="s">
        <v>122</v>
      </c>
      <c r="C50" s="18" t="s">
        <v>26</v>
      </c>
      <c r="D50" s="18" t="s">
        <v>14</v>
      </c>
      <c r="E50" s="19">
        <v>9800</v>
      </c>
      <c r="F50" s="18" t="s">
        <v>18</v>
      </c>
      <c r="G50" s="20" t="s">
        <v>140</v>
      </c>
      <c r="H50" s="20" t="s">
        <v>165</v>
      </c>
      <c r="I50" s="18" t="s">
        <v>169</v>
      </c>
      <c r="J50" s="18" t="s">
        <v>178</v>
      </c>
      <c r="K50" s="18" t="s">
        <v>19</v>
      </c>
      <c r="L50" s="18">
        <v>4.8</v>
      </c>
    </row>
    <row r="51" spans="1:12" ht="16" x14ac:dyDescent="0.4">
      <c r="A51" s="18" t="s">
        <v>73</v>
      </c>
      <c r="B51" s="18" t="s">
        <v>123</v>
      </c>
      <c r="C51" s="18" t="s">
        <v>21</v>
      </c>
      <c r="D51" s="18" t="s">
        <v>31</v>
      </c>
      <c r="E51" s="19">
        <v>4000</v>
      </c>
      <c r="F51" s="18" t="s">
        <v>15</v>
      </c>
      <c r="G51" s="20" t="s">
        <v>139</v>
      </c>
      <c r="H51" s="20">
        <v>46032</v>
      </c>
      <c r="I51" s="18" t="s">
        <v>170</v>
      </c>
      <c r="J51" s="18" t="s">
        <v>177</v>
      </c>
      <c r="K51" s="18" t="s">
        <v>182</v>
      </c>
      <c r="L51" s="18">
        <v>4.5</v>
      </c>
    </row>
  </sheetData>
  <autoFilter ref="A1:L1" xr:uid="{4B8CE89D-9CA6-4AD6-8CAB-99D737B65C87}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BF5BC0-DA24-44C8-94B9-433B3DDFCF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Sheet6</vt:lpstr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Kumari</dc:creator>
  <cp:lastModifiedBy>Disha Kumari</cp:lastModifiedBy>
  <dcterms:created xsi:type="dcterms:W3CDTF">2026-06-04T20:15:18Z</dcterms:created>
  <dcterms:modified xsi:type="dcterms:W3CDTF">2026-06-12T00:06:10Z</dcterms:modified>
</cp:coreProperties>
</file>